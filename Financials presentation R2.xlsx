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name="Summary" sheetId="1" state="visible" r:id="rId1"/>
    <sheet name="Scenario Comparison" sheetId="2" state="visible" r:id="rId2"/>
    <sheet name="Assumptions" sheetId="3" state="visible" r:id="rId3"/>
    <sheet name="Revenue Detail" sheetId="4" state="visible" r:id="rId4"/>
    <sheet name="P&amp;L" sheetId="5" state="visible" r:id="rId5"/>
    <sheet name="Unit Economics" sheetId="6" state="visible" r:id="rId6"/>
    <sheet name="Charts" sheetId="7" state="visible" r:id="rId7"/>
  </sheets>
  <definedNames/>
  <calcPr calcId="0" fullCalcOnLoad="1"/>
</workbook>
</file>

<file path=xl/styles.xml><?xml version="1.0" encoding="utf-8"?>
<styleSheet xmlns="http://schemas.openxmlformats.org/spreadsheetml/2006/main">
  <numFmts count="3">
    <numFmt numFmtId="164" formatCode="#,##0;\(#,##0\)"/>
    <numFmt numFmtId="165" formatCode="0.0%"/>
    <numFmt numFmtId="166" formatCode="#,##0.0"/>
  </numFmts>
  <fonts count="3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i val="1"/>
      <color rgb="FFFFFFFF"/>
      <sz val="9"/>
    </font>
    <font>
      <name val="Calibri"/>
      <family val="2"/>
      <b val="1"/>
      <color rgb="FFFFFFFF"/>
      <sz val="10"/>
    </font>
    <font>
      <name val="Calibri"/>
      <family val="2"/>
      <b val="1"/>
      <color rgb="FF6B6B6B"/>
      <sz val="9"/>
    </font>
    <font>
      <name val="Calibri"/>
      <family val="2"/>
      <color rgb="FF1A1A1A"/>
      <sz val="10"/>
    </font>
    <font>
      <name val="Calibri"/>
      <family val="2"/>
      <b val="1"/>
      <color rgb="FF1A1A1A"/>
      <sz val="10"/>
    </font>
    <font>
      <name val="Calibri"/>
      <family val="2"/>
      <b val="1"/>
      <color rgb="FFFFFFFF"/>
      <sz val="9"/>
    </font>
    <font>
      <name val="Calibri"/>
      <family val="2"/>
      <sz val="10"/>
    </font>
    <font>
      <name val="Calibri"/>
      <family val="2"/>
      <i val="1"/>
      <color rgb="FF6B6B6B"/>
      <sz val="9"/>
    </font>
    <font>
      <name val="Calibri"/>
      <family val="2"/>
      <b val="1"/>
      <color rgb="FFFFFFFF"/>
      <sz val="13"/>
    </font>
    <font>
      <name val="Calibri"/>
      <family val="2"/>
      <b val="1"/>
      <color rgb="FF1A6B3C"/>
      <sz val="10"/>
    </font>
    <font>
      <name val="Calibri"/>
      <family val="2"/>
      <b val="1"/>
      <sz val="10"/>
    </font>
    <font>
      <name val="Calibri"/>
      <family val="2"/>
      <b val="1"/>
      <color rgb="FF1A6B3C"/>
      <sz val="11"/>
    </font>
    <font>
      <name val="Calibri"/>
      <family val="2"/>
      <i val="1"/>
      <color rgb="FF6B6B6B"/>
      <sz val="8"/>
    </font>
    <font>
      <b val="1"/>
      <color rgb="00134F34"/>
      <sz val="13"/>
    </font>
    <font>
      <i val="1"/>
      <color rgb="006B7280"/>
      <sz val="9"/>
    </font>
    <font>
      <b val="1"/>
      <color rgb="00FFFFFF"/>
      <sz val="10"/>
    </font>
    <font>
      <b val="1"/>
      <color rgb="006B7280"/>
      <sz val="9"/>
    </font>
    <font>
      <b val="1"/>
      <color rgb="00FFFFFF"/>
      <sz val="9"/>
    </font>
    <font>
      <color rgb="001A1A1A"/>
      <sz val="10"/>
    </font>
    <font>
      <color rgb="00B91C1C"/>
      <sz val="10"/>
    </font>
    <font>
      <b val="1"/>
      <color rgb="00B91C1C"/>
      <sz val="10"/>
    </font>
    <font>
      <b val="1"/>
      <color rgb="00134F34"/>
      <sz val="10"/>
    </font>
    <font>
      <b val="1"/>
      <color rgb="001A1A1A"/>
      <sz val="10"/>
    </font>
    <font>
      <color rgb="006B7280"/>
      <sz val="10"/>
    </font>
    <font>
      <i val="1"/>
      <color rgb="006B7280"/>
      <sz val="8"/>
    </font>
    <font>
      <sz val="10"/>
    </font>
    <font>
      <b val="1"/>
      <color rgb="008B5E0A"/>
      <sz val="10"/>
    </font>
    <font>
      <b val="1"/>
      <color rgb="00134F34"/>
      <sz val="14"/>
    </font>
    <font>
      <color rgb="006B7280"/>
      <sz val="9"/>
    </font>
    <font>
      <b val="1"/>
      <color rgb="001A1A1A"/>
      <sz val="9"/>
    </font>
    <font>
      <color rgb="001A1A1A"/>
      <sz val="9"/>
    </font>
    <font>
      <b val="1"/>
      <color rgb="00D97706"/>
      <sz val="10"/>
    </font>
  </fonts>
  <fills count="13">
    <fill>
      <patternFill/>
    </fill>
    <fill>
      <patternFill patternType="gray125"/>
    </fill>
    <fill>
      <patternFill patternType="solid">
        <fgColor rgb="FF1A6B3C"/>
      </patternFill>
    </fill>
    <fill>
      <patternFill patternType="solid">
        <fgColor rgb="FFE8F0E9"/>
      </patternFill>
    </fill>
    <fill>
      <patternFill patternType="solid">
        <fgColor rgb="00F3F4F6"/>
      </patternFill>
    </fill>
    <fill>
      <patternFill patternType="solid">
        <fgColor rgb="006B7280"/>
      </patternFill>
    </fill>
    <fill>
      <patternFill patternType="solid">
        <fgColor rgb="00134F34"/>
      </patternFill>
    </fill>
    <fill>
      <patternFill patternType="solid">
        <fgColor rgb="00C9A227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D1FAE5"/>
      </patternFill>
    </fill>
    <fill>
      <patternFill patternType="solid">
        <fgColor rgb="00FEF3C7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left" vertical="center"/>
    </xf>
    <xf numFmtId="164" fontId="6" fillId="3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6" fontId="5" fillId="0" borderId="0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  <xf numFmtId="165" fontId="8" fillId="0" borderId="0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0" fontId="12" fillId="0" borderId="0" pivotButton="0" quotePrefix="0" xfId="0"/>
    <xf numFmtId="0" fontId="9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7" fillId="2" borderId="0" pivotButton="0" quotePrefix="0" xfId="0"/>
    <xf numFmtId="3" fontId="8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4" fontId="1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12" fillId="3" borderId="0" pivotButton="0" quotePrefix="0" xfId="0"/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12" fillId="3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9" fillId="0" borderId="0" pivotButton="0" quotePrefix="0" xfId="0"/>
    <xf numFmtId="0" fontId="11" fillId="3" borderId="0" pivotButton="0" quotePrefix="0" xfId="0"/>
    <xf numFmtId="0" fontId="10" fillId="2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/>
    </xf>
    <xf numFmtId="0" fontId="16" fillId="0" borderId="0" pivotButton="0" quotePrefix="0" xfId="0"/>
    <xf numFmtId="0" fontId="0" fillId="4" borderId="0" pivotButton="0" quotePrefix="0" xfId="0"/>
    <xf numFmtId="0" fontId="17" fillId="5" borderId="0" applyAlignment="1" pivotButton="0" quotePrefix="0" xfId="0">
      <alignment horizontal="center"/>
    </xf>
    <xf numFmtId="0" fontId="0" fillId="8" borderId="0" pivotButton="0" quotePrefix="0" xfId="0"/>
    <xf numFmtId="0" fontId="17" fillId="6" borderId="0" applyAlignment="1" pivotButton="0" quotePrefix="0" xfId="0">
      <alignment horizontal="center"/>
    </xf>
    <xf numFmtId="0" fontId="17" fillId="7" borderId="0" applyAlignment="1" pivotButton="0" quotePrefix="0" xfId="0">
      <alignment horizontal="center"/>
    </xf>
    <xf numFmtId="0" fontId="18" fillId="0" borderId="0" applyAlignment="1" pivotButton="0" quotePrefix="0" xfId="0">
      <alignment horizontal="left"/>
    </xf>
    <xf numFmtId="0" fontId="19" fillId="5" borderId="0" applyAlignment="1" pivotButton="0" quotePrefix="0" xfId="0">
      <alignment horizontal="center"/>
    </xf>
    <xf numFmtId="0" fontId="19" fillId="6" borderId="0" applyAlignment="1" pivotButton="0" quotePrefix="0" xfId="0">
      <alignment horizontal="center"/>
    </xf>
    <xf numFmtId="0" fontId="19" fillId="7" borderId="0" applyAlignment="1" pivotButton="0" quotePrefix="0" xfId="0">
      <alignment horizontal="center"/>
    </xf>
    <xf numFmtId="0" fontId="18" fillId="0" borderId="0" pivotButton="0" quotePrefix="0" xfId="0"/>
    <xf numFmtId="0" fontId="20" fillId="0" borderId="0" applyAlignment="1" pivotButton="0" quotePrefix="0" xfId="0">
      <alignment indent="1"/>
    </xf>
    <xf numFmtId="3" fontId="20" fillId="0" borderId="0" applyAlignment="1" pivotButton="0" quotePrefix="0" xfId="0">
      <alignment horizontal="right"/>
    </xf>
    <xf numFmtId="0" fontId="17" fillId="6" borderId="0" pivotButton="0" quotePrefix="0" xfId="0"/>
    <xf numFmtId="3" fontId="17" fillId="6" borderId="0" applyAlignment="1" pivotButton="0" quotePrefix="0" xfId="0">
      <alignment horizontal="right"/>
    </xf>
    <xf numFmtId="3" fontId="21" fillId="0" borderId="0" applyAlignment="1" pivotButton="0" quotePrefix="0" xfId="0">
      <alignment horizontal="right"/>
    </xf>
    <xf numFmtId="0" fontId="24" fillId="4" borderId="0" pivotButton="0" quotePrefix="0" xfId="0"/>
    <xf numFmtId="3" fontId="22" fillId="9" borderId="0" applyAlignment="1" pivotButton="0" quotePrefix="0" xfId="0">
      <alignment horizontal="right"/>
    </xf>
    <xf numFmtId="3" fontId="22" fillId="10" borderId="0" applyAlignment="1" pivotButton="0" quotePrefix="0" xfId="0">
      <alignment horizontal="right"/>
    </xf>
    <xf numFmtId="3" fontId="23" fillId="10" borderId="0" applyAlignment="1" pivotButton="0" quotePrefix="0" xfId="0">
      <alignment horizontal="right"/>
    </xf>
    <xf numFmtId="3" fontId="22" fillId="11" borderId="0" applyAlignment="1" pivotButton="0" quotePrefix="0" xfId="0">
      <alignment horizontal="right"/>
    </xf>
    <xf numFmtId="3" fontId="23" fillId="11" borderId="0" applyAlignment="1" pivotButton="0" quotePrefix="0" xfId="0">
      <alignment horizontal="right"/>
    </xf>
    <xf numFmtId="0" fontId="25" fillId="0" borderId="0" applyAlignment="1" pivotButton="0" quotePrefix="0" xfId="0">
      <alignment indent="1"/>
    </xf>
    <xf numFmtId="165" fontId="25" fillId="0" borderId="0" applyAlignment="1" pivotButton="0" quotePrefix="0" xfId="0">
      <alignment horizontal="right"/>
    </xf>
    <xf numFmtId="166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0" fontId="26" fillId="0" borderId="0" pivotButton="0" quotePrefix="0" xfId="0"/>
    <xf numFmtId="0" fontId="22" fillId="0" borderId="0" pivotButton="0" quotePrefix="0" xfId="0"/>
    <xf numFmtId="0" fontId="17" fillId="5" borderId="0" applyAlignment="1" pivotButton="0" quotePrefix="0" xfId="0">
      <alignment horizontal="center" vertical="center" wrapText="1"/>
    </xf>
    <xf numFmtId="0" fontId="27" fillId="0" borderId="0" pivotButton="0" quotePrefix="0" xfId="0"/>
    <xf numFmtId="165" fontId="0" fillId="0" borderId="0" pivotButton="0" quotePrefix="0" xfId="0"/>
    <xf numFmtId="0" fontId="28" fillId="0" borderId="0" pivotButton="0" quotePrefix="0" xfId="0"/>
    <xf numFmtId="0" fontId="17" fillId="7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9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17" fillId="5" borderId="0" applyAlignment="1" pivotButton="0" quotePrefix="0" xfId="0">
      <alignment horizontal="center" vertical="center"/>
    </xf>
    <xf numFmtId="0" fontId="17" fillId="6" borderId="0" applyAlignment="1" pivotButton="0" quotePrefix="0" xfId="0">
      <alignment horizontal="center" vertical="center"/>
    </xf>
    <xf numFmtId="0" fontId="24" fillId="7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left" vertical="center"/>
    </xf>
    <xf numFmtId="0" fontId="31" fillId="7" borderId="0" applyAlignment="1" pivotButton="0" quotePrefix="0" xfId="0">
      <alignment horizontal="center"/>
    </xf>
    <xf numFmtId="0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left" vertical="center"/>
    </xf>
    <xf numFmtId="3" fontId="23" fillId="12" borderId="0" applyAlignment="1" pivotButton="0" quotePrefix="0" xfId="0">
      <alignment horizontal="right"/>
    </xf>
    <xf numFmtId="0" fontId="25" fillId="0" borderId="0" applyAlignment="1" pivotButton="0" quotePrefix="0" xfId="0">
      <alignment horizontal="left" vertical="center" indent="1"/>
    </xf>
    <xf numFmtId="0" fontId="24" fillId="4" borderId="0" applyAlignment="1" pivotButton="0" quotePrefix="0" xfId="0">
      <alignment horizontal="left" vertical="center"/>
    </xf>
    <xf numFmtId="3" fontId="22" fillId="12" borderId="0" applyAlignment="1" pivotButton="0" quotePrefix="0" xfId="0">
      <alignment horizontal="right"/>
    </xf>
    <xf numFmtId="165" fontId="3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/>
    </xf>
    <xf numFmtId="0" fontId="24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19" fillId="5" borderId="0" pivotButton="0" quotePrefix="0" xfId="0"/>
    <xf numFmtId="0" fontId="33" fillId="0" borderId="0" pivotButton="0" quotePrefix="0" xfId="0"/>
    <xf numFmtId="0" fontId="19" fillId="7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Revenue by Stream (Base Scenario)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Charts!$B$1</f>
              <strCache>
                <ptCount val="1"/>
                <pt idx="0">
                  <v>AUM Trail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Charts!$A$2:$A$5</f>
              <strCache>
                <ptCount val="4"/>
                <pt idx="0">
                  <v>Y1</v>
                </pt>
                <pt idx="1">
                  <v>Y2</v>
                </pt>
                <pt idx="2">
                  <v>Y3</v>
                </pt>
                <pt idx="3">
                  <v>Y4</v>
                </pt>
              </strCache>
            </strRef>
          </cat>
          <val>
            <numRef>
              <f>Charts!$B$2:$B$5</f>
              <numCache>
                <formatCode>General</formatCode>
                <ptCount val="4"/>
                <pt idx="0">
                  <v>0</v>
                </pt>
                <pt idx="1">
                  <v>555813.5000000002</v>
                </pt>
                <pt idx="2">
                  <v>2807003.375000001</v>
                </pt>
                <pt idx="3">
                  <v>6570820.300000002</v>
                </pt>
              </numCache>
            </numRef>
          </val>
        </ser>
        <ser>
          <idx val="1"/>
          <order val="1"/>
          <tx>
            <strRef>
              <f>Charts!$C$1</f>
              <strCache>
                <ptCount val="1"/>
                <pt idx="0">
                  <v>SaaS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Charts!$A$2:$A$5</f>
              <strCache>
                <ptCount val="4"/>
                <pt idx="0">
                  <v>Y1</v>
                </pt>
                <pt idx="1">
                  <v>Y2</v>
                </pt>
                <pt idx="2">
                  <v>Y3</v>
                </pt>
                <pt idx="3">
                  <v>Y4</v>
                </pt>
              </strCache>
            </strRef>
          </cat>
          <val>
            <numRef>
              <f>Charts!$C$2:$C$5</f>
              <numCache>
                <formatCode>General</formatCode>
                <ptCount val="4"/>
                <pt idx="0">
                  <v>0</v>
                </pt>
                <pt idx="1">
                  <v>170605.008</v>
                </pt>
                <pt idx="2">
                  <v>803829.0329999999</v>
                </pt>
                <pt idx="3">
                  <v>1727434.065</v>
                </pt>
              </numCache>
            </numRef>
          </val>
        </ser>
        <ser>
          <idx val="2"/>
          <order val="2"/>
          <tx>
            <strRef>
              <f>Charts!$D$1</f>
              <strCache>
                <ptCount val="1"/>
                <pt idx="0">
                  <v>Insurance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Charts!$A$2:$A$5</f>
              <strCache>
                <ptCount val="4"/>
                <pt idx="0">
                  <v>Y1</v>
                </pt>
                <pt idx="1">
                  <v>Y2</v>
                </pt>
                <pt idx="2">
                  <v>Y3</v>
                </pt>
                <pt idx="3">
                  <v>Y4</v>
                </pt>
              </strCache>
            </strRef>
          </cat>
          <val>
            <numRef>
              <f>Charts!$D$2:$D$5</f>
              <numCache>
                <formatCode>General</formatCode>
                <ptCount val="4"/>
                <pt idx="0">
                  <v>0</v>
                </pt>
                <pt idx="1">
                  <v>55537.40635199999</v>
                </pt>
                <pt idx="2">
                  <v>298693.83187854</v>
                </pt>
                <pt idx="3">
                  <v>703359.840312594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Year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EUR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EBITDA Trajectory (Base Scenario)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Charts!$F$1</f>
              <strCache>
                <ptCount val="1"/>
                <pt idx="0">
                  <v>EBITDA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Charts!$A$2:$A$5</f>
              <strCache>
                <ptCount val="4"/>
                <pt idx="0">
                  <v>Y1</v>
                </pt>
                <pt idx="1">
                  <v>Y2</v>
                </pt>
                <pt idx="2">
                  <v>Y3</v>
                </pt>
                <pt idx="3">
                  <v>Y4</v>
                </pt>
              </strCache>
            </strRef>
          </cat>
          <val>
            <numRef>
              <f>Charts!$F$2:$F$5</f>
              <numCache>
                <formatCode>General</formatCode>
                <ptCount val="4"/>
                <pt idx="0">
                  <v>-784020</v>
                </pt>
                <pt idx="1">
                  <v>-1169499.625648</v>
                </pt>
                <pt idx="2">
                  <v>291485.4048785404</v>
                </pt>
                <pt idx="3">
                  <v>3352840.403312596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Year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EUR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Total AUM Growth (€m)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Charts!$G$1</f>
              <strCache>
                <ptCount val="1"/>
                <pt idx="0">
                  <v>AUM (€m)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Charts!$A$2:$A$5</f>
              <strCache>
                <ptCount val="4"/>
                <pt idx="0">
                  <v>Y1</v>
                </pt>
                <pt idx="1">
                  <v>Y2</v>
                </pt>
                <pt idx="2">
                  <v>Y3</v>
                </pt>
                <pt idx="3">
                  <v>Y4</v>
                </pt>
              </strCache>
            </strRef>
          </cat>
          <val>
            <numRef>
              <f>Charts!$G$2:$G$5</f>
              <numCache>
                <formatCode>General</formatCode>
                <ptCount val="4"/>
                <pt idx="0">
                  <v>0</v>
                </pt>
                <pt idx="1">
                  <v>222.3254000000001</v>
                </pt>
                <pt idx="2">
                  <v>900.4759500000002</v>
                </pt>
                <pt idx="3">
                  <v>1727.852170000001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Year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€m</a:t>
                </a:r>
              </a:p>
            </rich>
          </tx>
          <overlay val="1"/>
        </title>
        <numFmt formatCode="#,##0.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Members Growth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Charts!$H$1</f>
              <strCache>
                <ptCount val="1"/>
                <pt idx="0">
                  <v>Members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Charts!$A$2:$A$5</f>
              <strCache>
                <ptCount val="4"/>
                <pt idx="0">
                  <v>Y1</v>
                </pt>
                <pt idx="1">
                  <v>Y2</v>
                </pt>
                <pt idx="2">
                  <v>Y3</v>
                </pt>
                <pt idx="3">
                  <v>Y4</v>
                </pt>
              </strCache>
            </strRef>
          </cat>
          <val>
            <numRef>
              <f>Charts!$H$2:$H$5</f>
              <numCache>
                <formatCode>General</formatCode>
                <ptCount val="4"/>
                <pt idx="0">
                  <v>0</v>
                </pt>
                <pt idx="1">
                  <v>9560</v>
                </pt>
                <pt idx="2">
                  <v>31792</v>
                </pt>
                <pt idx="3">
                  <v>51440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Year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Members (#)</a:t>
                </a:r>
              </a:p>
            </rich>
          </tx>
          <overlay val="1"/>
        </title>
        <numFmt formatCode="#,##0" sourceLinked="0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31</row>
      <rowOff>0</rowOff>
    </from>
    <ext cx="648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31</row>
      <rowOff>0</rowOff>
    </from>
    <ext cx="648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1A6B3C"/>
    <outlinePr summaryBelow="1" summaryRight="1"/>
    <pageSetUpPr/>
  </sheetPr>
  <dimension ref="A1:E29"/>
  <sheetViews>
    <sheetView showGridLines="0" tabSelected="1" workbookViewId="0">
      <selection activeCell="A1" sqref="A1:E1"/>
    </sheetView>
  </sheetViews>
  <sheetFormatPr baseColWidth="8" defaultRowHeight="14.5"/>
  <cols>
    <col width="32" customWidth="1" style="29" min="1" max="1"/>
    <col width="14" customWidth="1" style="29" min="2" max="5"/>
    <col width="6" customWidth="1" style="29" min="6" max="6"/>
  </cols>
  <sheetData>
    <row r="1" ht="28" customHeight="1" s="29">
      <c r="A1" s="32" t="inlineStr">
        <is>
          <t>Accruo Ireland — Financial Summary (Base Scenario)</t>
        </is>
      </c>
    </row>
    <row r="2">
      <c r="A2" s="31" t="inlineStr">
        <is>
          <t>Base scenario: Y3 EBITDA breakeven  ·  All figures EUR</t>
        </is>
      </c>
    </row>
    <row r="4">
      <c r="A4" s="1" t="inlineStr">
        <is>
          <t>Metric</t>
        </is>
      </c>
      <c r="B4" s="2" t="inlineStr">
        <is>
          <t>Y1</t>
        </is>
      </c>
      <c r="C4" s="2" t="inlineStr">
        <is>
          <t>Y2</t>
        </is>
      </c>
      <c r="D4" s="2" t="inlineStr">
        <is>
          <t>Y3</t>
        </is>
      </c>
      <c r="E4" s="2" t="inlineStr">
        <is>
          <t>Y4</t>
        </is>
      </c>
    </row>
    <row r="5" ht="14" customHeight="1" s="29">
      <c r="A5" s="30" t="inlineStr">
        <is>
          <t>Revenue (€)</t>
        </is>
      </c>
    </row>
    <row r="6">
      <c r="A6" s="3" t="inlineStr">
        <is>
          <t xml:space="preserve">  AUM trail fees</t>
        </is>
      </c>
      <c r="B6" s="4" t="n"/>
      <c r="C6" s="4" t="n">
        <v>555813.5000000002</v>
      </c>
      <c r="D6" s="4" t="n">
        <v>2807003.375000001</v>
      </c>
      <c r="E6" s="4" t="n">
        <v>6570820.300000002</v>
      </c>
    </row>
    <row r="7">
      <c r="A7" s="3" t="inlineStr">
        <is>
          <t xml:space="preserve">  SaaS subscription</t>
        </is>
      </c>
      <c r="B7" s="4" t="n"/>
      <c r="C7" s="4" t="n">
        <v>170605.008</v>
      </c>
      <c r="D7" s="4" t="n">
        <v>803829.0329999999</v>
      </c>
      <c r="E7" s="4" t="n">
        <v>1727434.065</v>
      </c>
    </row>
    <row r="8">
      <c r="A8" s="3" t="inlineStr">
        <is>
          <t xml:space="preserve">  Health &amp; life insurance</t>
        </is>
      </c>
      <c r="B8" s="4" t="n"/>
      <c r="C8" s="4" t="n">
        <v>55537.40635199999</v>
      </c>
      <c r="D8" s="4" t="n">
        <v>298693.83187854</v>
      </c>
      <c r="E8" s="4" t="n">
        <v>703359.840312594</v>
      </c>
    </row>
    <row r="9">
      <c r="A9" s="5" t="inlineStr">
        <is>
          <t>Total revenue</t>
        </is>
      </c>
      <c r="B9" s="6" t="n"/>
      <c r="C9" s="6" t="n">
        <v>781955.9143520002</v>
      </c>
      <c r="D9" s="6" t="n">
        <v>3909526.239878541</v>
      </c>
      <c r="E9" s="6" t="n">
        <v>9001614.205312597</v>
      </c>
    </row>
    <row r="10">
      <c r="A10" s="3" t="inlineStr">
        <is>
          <t>(−) COGS (variable)</t>
        </is>
      </c>
      <c r="B10" s="4" t="n">
        <v>-155000</v>
      </c>
      <c r="C10" s="4" t="n">
        <v>-288311.54</v>
      </c>
      <c r="D10" s="4" t="n">
        <v>-1426424.835</v>
      </c>
      <c r="E10" s="4" t="n">
        <v>-3278166.122</v>
      </c>
    </row>
    <row r="11">
      <c r="A11" s="3" t="inlineStr">
        <is>
          <t>(−) Fixed opex</t>
        </is>
      </c>
      <c r="B11" s="4" t="n">
        <v>-629020</v>
      </c>
      <c r="C11" s="4" t="n">
        <v>-1663144</v>
      </c>
      <c r="D11" s="4" t="n">
        <v>-2191616</v>
      </c>
      <c r="E11" s="4" t="n">
        <v>-2370607.68</v>
      </c>
    </row>
    <row r="12">
      <c r="A12" s="5" t="inlineStr">
        <is>
          <t>EBITDA</t>
        </is>
      </c>
      <c r="B12" s="6" t="n">
        <v>-784020</v>
      </c>
      <c r="C12" s="6" t="n">
        <v>-1169499.625648</v>
      </c>
      <c r="D12" s="6" t="n">
        <v>291485.4048785404</v>
      </c>
      <c r="E12" s="6" t="n">
        <v>3352840.403312596</v>
      </c>
    </row>
    <row r="13">
      <c r="A13" s="3" t="inlineStr">
        <is>
          <t xml:space="preserve">  Gross margin %</t>
        </is>
      </c>
      <c r="B13" s="7" t="n"/>
      <c r="C13" s="7" t="n">
        <v>0.631294380273444</v>
      </c>
      <c r="D13" s="7" t="n">
        <v>0.6351412556207026</v>
      </c>
      <c r="E13" s="7" t="n">
        <v>0.6358246368673206</v>
      </c>
    </row>
    <row r="14">
      <c r="A14" s="3" t="inlineStr">
        <is>
          <t xml:space="preserve">  EBITDA margin %</t>
        </is>
      </c>
      <c r="B14" s="7" t="n"/>
      <c r="C14" s="7" t="n">
        <v>-1.495608133633919</v>
      </c>
      <c r="D14" s="7" t="n">
        <v>0.07455773078213082</v>
      </c>
      <c r="E14" s="7" t="n">
        <v>0.3724710176241288</v>
      </c>
    </row>
    <row r="16" ht="14" customHeight="1" s="29">
      <c r="A16" s="30" t="inlineStr">
        <is>
          <t>Operational Metrics</t>
        </is>
      </c>
    </row>
    <row r="17">
      <c r="A17" s="3" t="inlineStr">
        <is>
          <t>Total AUM (€m)</t>
        </is>
      </c>
      <c r="B17" s="8" t="n"/>
      <c r="C17" s="8" t="n">
        <v>222.3254000000001</v>
      </c>
      <c r="D17" s="8" t="n">
        <v>900.4759500000002</v>
      </c>
      <c r="E17" s="8" t="n">
        <v>1727.852170000001</v>
      </c>
    </row>
    <row r="18">
      <c r="A18" s="3" t="inlineStr">
        <is>
          <t>Total members (#)</t>
        </is>
      </c>
      <c r="B18" s="9" t="n"/>
      <c r="C18" s="9" t="n">
        <v>9560</v>
      </c>
      <c r="D18" s="9" t="n">
        <v>31792</v>
      </c>
      <c r="E18" s="9" t="n">
        <v>51440</v>
      </c>
    </row>
    <row r="20" ht="14" customHeight="1" s="29">
      <c r="A20" s="30" t="inlineStr">
        <is>
          <t>Revenue Mix (Y3 and Y4)</t>
        </is>
      </c>
    </row>
    <row r="21">
      <c r="A21" s="10" t="inlineStr">
        <is>
          <t>Stream</t>
        </is>
      </c>
      <c r="B21" s="11" t="n"/>
      <c r="C21" s="11" t="n"/>
      <c r="D21" s="11" t="inlineStr">
        <is>
          <t>Y3</t>
        </is>
      </c>
      <c r="E21" s="11" t="inlineStr">
        <is>
          <t>Y4</t>
        </is>
      </c>
    </row>
    <row r="22">
      <c r="A22" s="12" t="inlineStr">
        <is>
          <t xml:space="preserve">  AUM trail fees</t>
        </is>
      </c>
      <c r="D22" s="13" t="n">
        <v>0.7179906727233547</v>
      </c>
      <c r="E22" s="13" t="n">
        <v>0.7299602215924803</v>
      </c>
    </row>
    <row r="23">
      <c r="A23" s="12" t="inlineStr">
        <is>
          <t xml:space="preserve">  SaaS subscription</t>
        </is>
      </c>
      <c r="D23" s="13" t="n">
        <v>0.2056077856187948</v>
      </c>
      <c r="E23" s="13" t="n">
        <v>0.191902699404791</v>
      </c>
    </row>
    <row r="24">
      <c r="A24" s="12" t="inlineStr">
        <is>
          <t xml:space="preserve">  Health &amp; life insurance</t>
        </is>
      </c>
      <c r="D24" s="13" t="n">
        <v>0.07640154165785053</v>
      </c>
      <c r="E24" s="13" t="n">
        <v>0.07813707900272855</v>
      </c>
    </row>
    <row r="26" ht="14" customHeight="1" s="29">
      <c r="A26" s="30" t="inlineStr">
        <is>
          <t>Funding</t>
        </is>
      </c>
    </row>
    <row r="27">
      <c r="A27" s="12" t="inlineStr">
        <is>
          <t>Cumulative cash need (€)</t>
        </is>
      </c>
      <c r="B27" s="14" t="n">
        <v>909020</v>
      </c>
      <c r="C27" s="14" t="n">
        <v>2078519.625648</v>
      </c>
      <c r="D27" s="14" t="n">
        <v>2078519.625648</v>
      </c>
      <c r="E27" s="14" t="n">
        <v>2078519.625648</v>
      </c>
    </row>
    <row r="29">
      <c r="A29" s="28" t="inlineStr">
        <is>
          <t>■  Y3 EBITDA breakeven achieved at 1.5–2.5% workplace penetration and 3.5–5% PRSA penetration.</t>
        </is>
      </c>
    </row>
  </sheetData>
  <mergeCells count="7">
    <mergeCell ref="A29:E29"/>
    <mergeCell ref="A20:E20"/>
    <mergeCell ref="A26:E26"/>
    <mergeCell ref="A2:E2"/>
    <mergeCell ref="A16:E16"/>
    <mergeCell ref="A1:E1"/>
    <mergeCell ref="A5:E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30" customWidth="1" style="29" min="1" max="1"/>
    <col width="10.5" customWidth="1" style="29" min="2" max="2"/>
    <col width="10.5" customWidth="1" style="29" min="3" max="3"/>
    <col width="10.5" customWidth="1" style="29" min="4" max="4"/>
    <col width="10.5" customWidth="1" style="29" min="5" max="5"/>
    <col width="1.5" customWidth="1" style="29" min="6" max="6"/>
    <col width="10.5" customWidth="1" style="29" min="7" max="7"/>
    <col width="10.5" customWidth="1" style="29" min="8" max="8"/>
    <col width="10.5" customWidth="1" style="29" min="9" max="9"/>
    <col width="10.5" customWidth="1" style="29" min="10" max="10"/>
    <col width="1.5" customWidth="1" style="29" min="11" max="11"/>
    <col width="10.5" customWidth="1" style="29" min="12" max="12"/>
    <col width="10.5" customWidth="1" style="29" min="13" max="13"/>
    <col width="10.5" customWidth="1" style="29" min="14" max="14"/>
  </cols>
  <sheetData>
    <row r="1">
      <c r="A1" s="73" t="inlineStr">
        <is>
          <t>Accruo Ireland — Three-Scenario Financial Summary</t>
        </is>
      </c>
    </row>
    <row r="2">
      <c r="A2" s="74" t="inlineStr">
        <is>
          <t>Fixed opex is identical across all scenarios. Only market penetration targets differ.</t>
        </is>
      </c>
    </row>
    <row r="4">
      <c r="B4" s="75" t="inlineStr">
        <is>
          <t>LOW  —  Conservative case</t>
        </is>
      </c>
      <c r="G4" s="76" t="inlineStr">
        <is>
          <t>BASE  —  Central case  ✓</t>
        </is>
      </c>
      <c r="L4" s="77" t="inlineStr">
        <is>
          <t>HIGH  —  Optimistic case</t>
        </is>
      </c>
    </row>
    <row r="5">
      <c r="A5" s="78" t="inlineStr"/>
      <c r="B5" s="46" t="inlineStr">
        <is>
          <t>Y1</t>
        </is>
      </c>
      <c r="C5" s="46" t="inlineStr">
        <is>
          <t>Y2</t>
        </is>
      </c>
      <c r="D5" s="46" t="inlineStr">
        <is>
          <t>Y3</t>
        </is>
      </c>
      <c r="E5" s="46" t="inlineStr">
        <is>
          <t>Y4</t>
        </is>
      </c>
      <c r="G5" s="47" t="inlineStr">
        <is>
          <t>Y1</t>
        </is>
      </c>
      <c r="H5" s="47" t="inlineStr">
        <is>
          <t>Y2</t>
        </is>
      </c>
      <c r="I5" s="47" t="inlineStr">
        <is>
          <t>Y3</t>
        </is>
      </c>
      <c r="J5" s="47" t="inlineStr">
        <is>
          <t>Y4</t>
        </is>
      </c>
      <c r="L5" s="79" t="inlineStr">
        <is>
          <t>Y1</t>
        </is>
      </c>
      <c r="M5" s="79" t="inlineStr">
        <is>
          <t>Y2</t>
        </is>
      </c>
      <c r="N5" s="79" t="inlineStr">
        <is>
          <t>Y3</t>
        </is>
      </c>
      <c r="O5" s="79" t="inlineStr">
        <is>
          <t>Y4</t>
        </is>
      </c>
    </row>
    <row r="6">
      <c r="A6" s="80" t="inlineStr">
        <is>
          <t>REVENUE (€)</t>
        </is>
      </c>
    </row>
    <row r="7">
      <c r="A7" s="81" t="inlineStr">
        <is>
          <t>AUM trail fees</t>
        </is>
      </c>
      <c r="B7" s="51" t="n">
        <v>0</v>
      </c>
      <c r="C7" s="51" t="n">
        <v>324088</v>
      </c>
      <c r="D7" s="51" t="n">
        <v>1030673</v>
      </c>
      <c r="E7" s="51" t="n">
        <v>2354611</v>
      </c>
      <c r="G7" s="51" t="n">
        <v>0</v>
      </c>
      <c r="H7" s="51" t="n">
        <v>555814</v>
      </c>
      <c r="I7" s="51" t="n">
        <v>2807003</v>
      </c>
      <c r="J7" s="51" t="n">
        <v>6570820</v>
      </c>
      <c r="L7" s="51" t="n">
        <v>0</v>
      </c>
      <c r="M7" s="51" t="n">
        <v>827503</v>
      </c>
      <c r="N7" s="51" t="n">
        <v>4011260</v>
      </c>
      <c r="O7" s="51" t="n">
        <v>10983000</v>
      </c>
    </row>
    <row r="8">
      <c r="A8" s="81" t="inlineStr">
        <is>
          <t>SaaS subscription</t>
        </is>
      </c>
      <c r="B8" s="51" t="n">
        <v>0</v>
      </c>
      <c r="C8" s="51" t="n">
        <v>108358</v>
      </c>
      <c r="D8" s="51" t="n">
        <v>325074</v>
      </c>
      <c r="E8" s="51" t="n">
        <v>686226</v>
      </c>
      <c r="G8" s="51" t="n">
        <v>0</v>
      </c>
      <c r="H8" s="51" t="n">
        <v>170605</v>
      </c>
      <c r="I8" s="51" t="n">
        <v>803829</v>
      </c>
      <c r="J8" s="51" t="n">
        <v>1727434</v>
      </c>
      <c r="L8" s="51" t="n">
        <v>0</v>
      </c>
      <c r="M8" s="51" t="n">
        <v>325074</v>
      </c>
      <c r="N8" s="51" t="n">
        <v>1402484</v>
      </c>
      <c r="O8" s="51" t="n">
        <v>3421020</v>
      </c>
    </row>
    <row r="9">
      <c r="A9" s="81" t="inlineStr">
        <is>
          <t>Health &amp; life insurance</t>
        </is>
      </c>
      <c r="B9" s="51" t="n">
        <v>0</v>
      </c>
      <c r="C9" s="51" t="n">
        <v>71463</v>
      </c>
      <c r="D9" s="51" t="n">
        <v>145785</v>
      </c>
      <c r="E9" s="51" t="n">
        <v>351447</v>
      </c>
      <c r="G9" s="51" t="n">
        <v>0</v>
      </c>
      <c r="H9" s="51" t="n">
        <v>55537</v>
      </c>
      <c r="I9" s="51" t="n">
        <v>298694</v>
      </c>
      <c r="J9" s="51" t="n">
        <v>703360</v>
      </c>
      <c r="L9" s="51" t="n">
        <v>0</v>
      </c>
      <c r="M9" s="51" t="n">
        <v>214390</v>
      </c>
      <c r="N9" s="51" t="n">
        <v>855719</v>
      </c>
      <c r="O9" s="51" t="n">
        <v>2035945</v>
      </c>
    </row>
    <row r="10">
      <c r="A10" s="82" t="inlineStr">
        <is>
          <t>Total revenue</t>
        </is>
      </c>
      <c r="B10" s="83" t="n">
        <v>0</v>
      </c>
      <c r="C10" s="83" t="n">
        <v>503909</v>
      </c>
      <c r="D10" s="83" t="n">
        <v>1501532</v>
      </c>
      <c r="E10" s="83" t="n">
        <v>3392284</v>
      </c>
      <c r="G10" s="58" t="n">
        <v>0</v>
      </c>
      <c r="H10" s="58" t="n">
        <v>781956</v>
      </c>
      <c r="I10" s="58" t="n">
        <v>3909526</v>
      </c>
      <c r="J10" s="58" t="n">
        <v>9001614</v>
      </c>
      <c r="L10" s="60" t="n">
        <v>0</v>
      </c>
      <c r="M10" s="60" t="n">
        <v>1366967</v>
      </c>
      <c r="N10" s="60" t="n">
        <v>6269463</v>
      </c>
      <c r="O10" s="60" t="n">
        <v>16439965</v>
      </c>
    </row>
    <row r="11">
      <c r="A11" s="80" t="inlineStr">
        <is>
          <t>COSTS (€)</t>
        </is>
      </c>
    </row>
    <row r="12">
      <c r="A12" s="81" t="inlineStr">
        <is>
          <t>(−) COGS (variable)</t>
        </is>
      </c>
      <c r="B12" s="54" t="n">
        <v>-155000</v>
      </c>
      <c r="C12" s="54" t="n">
        <v>-183081</v>
      </c>
      <c r="D12" s="54" t="n">
        <v>-531546</v>
      </c>
      <c r="E12" s="54" t="n">
        <v>-1196276</v>
      </c>
      <c r="G12" s="54" t="n">
        <v>-155000</v>
      </c>
      <c r="H12" s="54" t="n">
        <v>-288312</v>
      </c>
      <c r="I12" s="54" t="n">
        <v>-1426425</v>
      </c>
      <c r="J12" s="54" t="n">
        <v>-3278166</v>
      </c>
      <c r="L12" s="54" t="n">
        <v>-155000</v>
      </c>
      <c r="M12" s="54" t="n">
        <v>-425525</v>
      </c>
      <c r="N12" s="54" t="n">
        <v>-2012773</v>
      </c>
      <c r="O12" s="54" t="n">
        <v>-5398571</v>
      </c>
    </row>
    <row r="13">
      <c r="A13" s="84" t="inlineStr">
        <is>
          <t>(−) Fixed opex  [same all scenarios]</t>
        </is>
      </c>
      <c r="B13" s="54" t="n">
        <v>-629020</v>
      </c>
      <c r="C13" s="54" t="n">
        <v>-1663144</v>
      </c>
      <c r="D13" s="54" t="n">
        <v>-2191616</v>
      </c>
      <c r="E13" s="54" t="n">
        <v>-2370608</v>
      </c>
      <c r="G13" s="54" t="n">
        <v>-629020</v>
      </c>
      <c r="H13" s="54" t="n">
        <v>-1663144</v>
      </c>
      <c r="I13" s="54" t="n">
        <v>-2191616</v>
      </c>
      <c r="J13" s="54" t="n">
        <v>-2370608</v>
      </c>
      <c r="L13" s="54" t="n">
        <v>-629020</v>
      </c>
      <c r="M13" s="54" t="n">
        <v>-1663144</v>
      </c>
      <c r="N13" s="54" t="n">
        <v>-2191616</v>
      </c>
      <c r="O13" s="54" t="n">
        <v>-2370608</v>
      </c>
    </row>
    <row r="14">
      <c r="A14" s="85" t="inlineStr">
        <is>
          <t>EBITDA</t>
        </is>
      </c>
      <c r="B14" s="86" t="n">
        <v>-784020</v>
      </c>
      <c r="C14" s="86" t="n">
        <v>-1342316</v>
      </c>
      <c r="D14" s="86" t="n">
        <v>-1221630</v>
      </c>
      <c r="E14" s="86" t="n">
        <v>-174600</v>
      </c>
      <c r="G14" s="57" t="n">
        <v>-784020</v>
      </c>
      <c r="H14" s="57" t="n">
        <v>-1169500</v>
      </c>
      <c r="I14" s="58" t="n">
        <v>291485</v>
      </c>
      <c r="J14" s="58" t="n">
        <v>3352840</v>
      </c>
      <c r="L14" s="59" t="n">
        <v>-784020</v>
      </c>
      <c r="M14" s="59" t="n">
        <v>-721702</v>
      </c>
      <c r="N14" s="60" t="n">
        <v>2065073</v>
      </c>
      <c r="O14" s="60" t="n">
        <v>8670786</v>
      </c>
    </row>
    <row r="15">
      <c r="A15" s="84" t="inlineStr">
        <is>
          <t>EBITDA margin %</t>
        </is>
      </c>
      <c r="B15" s="87" t="n">
        <v>0</v>
      </c>
      <c r="C15" s="87" t="n">
        <v>-2.663806361862955</v>
      </c>
      <c r="D15" s="87" t="n">
        <v>-0.8135890543791274</v>
      </c>
      <c r="E15" s="87" t="n">
        <v>-0.05146974722635251</v>
      </c>
      <c r="G15" s="87" t="n">
        <v>0</v>
      </c>
      <c r="H15" s="87" t="n">
        <v>-1.495608448557208</v>
      </c>
      <c r="I15" s="87" t="n">
        <v>0.07455763179474954</v>
      </c>
      <c r="J15" s="87" t="n">
        <v>0.3724709813151286</v>
      </c>
      <c r="L15" s="87" t="n">
        <v>0</v>
      </c>
      <c r="M15" s="87" t="n">
        <v>-0.5279586120220898</v>
      </c>
      <c r="N15" s="87" t="n">
        <v>0.32938594581386</v>
      </c>
      <c r="O15" s="87" t="n">
        <v>0.5274211958480447</v>
      </c>
    </row>
    <row r="16">
      <c r="A16" s="84" t="inlineStr">
        <is>
          <t>Gross margin %</t>
        </is>
      </c>
      <c r="B16" s="87" t="n">
        <v>0</v>
      </c>
      <c r="C16" s="87" t="n">
        <v>0.6366784478943619</v>
      </c>
      <c r="D16" s="87" t="n">
        <v>0.645997554497673</v>
      </c>
      <c r="E16" s="87" t="n">
        <v>0.6473538182534245</v>
      </c>
      <c r="G16" s="87" t="n">
        <v>0</v>
      </c>
      <c r="H16" s="87" t="n">
        <v>0.6312938323895462</v>
      </c>
      <c r="I16" s="87" t="n">
        <v>0.6351411910292961</v>
      </c>
      <c r="J16" s="87" t="n">
        <v>0.6358246421141809</v>
      </c>
      <c r="L16" s="87" t="n">
        <v>0</v>
      </c>
      <c r="M16" s="87" t="n">
        <v>0.6887086520742637</v>
      </c>
      <c r="N16" s="87" t="n">
        <v>0.6789559169581191</v>
      </c>
      <c r="O16" s="87" t="n">
        <v>0.6716190697486278</v>
      </c>
    </row>
    <row r="18">
      <c r="A18" s="80" t="inlineStr">
        <is>
          <t>OPERATIONAL METRICS</t>
        </is>
      </c>
    </row>
    <row r="19">
      <c r="A19" s="88" t="inlineStr">
        <is>
          <t>Total AUM (€m)</t>
        </is>
      </c>
      <c r="B19" s="63" t="n">
        <v>0</v>
      </c>
      <c r="C19" s="63" t="n">
        <v>129.6</v>
      </c>
      <c r="D19" s="63" t="n">
        <v>282.6</v>
      </c>
      <c r="E19" s="63" t="n">
        <v>659.2</v>
      </c>
      <c r="G19" s="63" t="n">
        <v>0</v>
      </c>
      <c r="H19" s="63" t="n">
        <v>222.3</v>
      </c>
      <c r="I19" s="63" t="n">
        <v>900.5</v>
      </c>
      <c r="J19" s="63" t="n">
        <v>1727.9</v>
      </c>
      <c r="L19" s="63" t="n">
        <v>0</v>
      </c>
      <c r="M19" s="63" t="n">
        <v>331</v>
      </c>
      <c r="N19" s="63" t="n">
        <v>1273.5</v>
      </c>
      <c r="O19" s="63" t="n">
        <v>3119.7</v>
      </c>
    </row>
    <row r="20">
      <c r="A20" s="88" t="inlineStr">
        <is>
          <t>Total members (#)</t>
        </is>
      </c>
      <c r="B20" s="51" t="n">
        <v>0</v>
      </c>
      <c r="C20" s="51" t="n">
        <v>6085</v>
      </c>
      <c r="D20" s="51" t="n">
        <v>11912</v>
      </c>
      <c r="E20" s="51" t="n">
        <v>23873</v>
      </c>
      <c r="G20" s="51" t="n">
        <v>0</v>
      </c>
      <c r="H20" s="51" t="n">
        <v>9560</v>
      </c>
      <c r="I20" s="51" t="n">
        <v>31792</v>
      </c>
      <c r="J20" s="51" t="n">
        <v>51440</v>
      </c>
      <c r="L20" s="51" t="n">
        <v>0</v>
      </c>
      <c r="M20" s="51" t="n">
        <v>17415</v>
      </c>
      <c r="N20" s="51" t="n">
        <v>51040</v>
      </c>
      <c r="O20" s="51" t="n">
        <v>103335</v>
      </c>
    </row>
    <row r="22">
      <c r="A22" s="80" t="inlineStr">
        <is>
          <t>MARKET PENETRATION (cumulative, end of year)</t>
        </is>
      </c>
    </row>
    <row r="23">
      <c r="A23" s="80" t="inlineStr">
        <is>
          <t>Segment</t>
        </is>
      </c>
      <c r="B23" s="46" t="inlineStr">
        <is>
          <t>Y1</t>
        </is>
      </c>
      <c r="C23" s="46" t="inlineStr">
        <is>
          <t>Y2</t>
        </is>
      </c>
      <c r="D23" s="46" t="inlineStr">
        <is>
          <t>Y3</t>
        </is>
      </c>
      <c r="E23" s="46" t="inlineStr">
        <is>
          <t>Y4</t>
        </is>
      </c>
      <c r="G23" s="47" t="inlineStr">
        <is>
          <t>Y1</t>
        </is>
      </c>
      <c r="H23" s="47" t="inlineStr">
        <is>
          <t>Y2</t>
        </is>
      </c>
      <c r="I23" s="47" t="inlineStr">
        <is>
          <t>Y3</t>
        </is>
      </c>
      <c r="J23" s="47" t="inlineStr">
        <is>
          <t>Y4</t>
        </is>
      </c>
      <c r="L23" s="79" t="inlineStr">
        <is>
          <t>Y1</t>
        </is>
      </c>
      <c r="M23" s="79" t="inlineStr">
        <is>
          <t>Y2</t>
        </is>
      </c>
      <c r="N23" s="79" t="inlineStr">
        <is>
          <t>Y3</t>
        </is>
      </c>
      <c r="O23" s="79" t="inlineStr">
        <is>
          <t>Y4</t>
        </is>
      </c>
    </row>
    <row r="24">
      <c r="A24" s="81" t="inlineStr">
        <is>
          <t>MFF Small Business</t>
        </is>
      </c>
      <c r="B24" s="89" t="n">
        <v>0</v>
      </c>
      <c r="C24" s="89" t="n">
        <v>0.005</v>
      </c>
      <c r="D24" s="89" t="n">
        <v>0.01</v>
      </c>
      <c r="E24" s="89" t="n">
        <v>0.02</v>
      </c>
      <c r="G24" s="89" t="n">
        <v>0</v>
      </c>
      <c r="H24" s="89" t="n">
        <v>0.008</v>
      </c>
      <c r="I24" s="89" t="n">
        <v>0.025</v>
      </c>
      <c r="J24" s="89" t="n">
        <v>0.04</v>
      </c>
      <c r="L24" s="89" t="n">
        <v>0</v>
      </c>
      <c r="M24" s="89" t="n">
        <v>0.015</v>
      </c>
      <c r="N24" s="89" t="n">
        <v>0.04</v>
      </c>
      <c r="O24" s="89" t="n">
        <v>0.08</v>
      </c>
    </row>
    <row r="25">
      <c r="A25" s="81" t="inlineStr">
        <is>
          <t>Medium Master Trust</t>
        </is>
      </c>
      <c r="B25" s="89" t="n">
        <v>0</v>
      </c>
      <c r="C25" s="89" t="n">
        <v>0.001</v>
      </c>
      <c r="D25" s="89" t="n">
        <v>0.002</v>
      </c>
      <c r="E25" s="89" t="n">
        <v>0.005</v>
      </c>
      <c r="G25" s="89" t="n">
        <v>0</v>
      </c>
      <c r="H25" s="89" t="n">
        <v>0.0015</v>
      </c>
      <c r="I25" s="89" t="n">
        <v>0.008</v>
      </c>
      <c r="J25" s="89" t="n">
        <v>0.015</v>
      </c>
      <c r="L25" s="89" t="n">
        <v>0</v>
      </c>
      <c r="M25" s="89" t="n">
        <v>0.003</v>
      </c>
      <c r="N25" s="89" t="n">
        <v>0.015</v>
      </c>
      <c r="O25" s="89" t="n">
        <v>0.035</v>
      </c>
    </row>
    <row r="26">
      <c r="A26" s="81" t="inlineStr">
        <is>
          <t>Large Standalone DC</t>
        </is>
      </c>
      <c r="B26" s="89" t="n">
        <v>0</v>
      </c>
      <c r="C26" s="89" t="n">
        <v>0</v>
      </c>
      <c r="D26" s="89" t="n">
        <v>0</v>
      </c>
      <c r="E26" s="89" t="n">
        <v>0.001</v>
      </c>
      <c r="G26" s="89" t="n">
        <v>0</v>
      </c>
      <c r="H26" s="89" t="n">
        <v>0</v>
      </c>
      <c r="I26" s="89" t="n">
        <v>0.001</v>
      </c>
      <c r="J26" s="89" t="n">
        <v>0.004</v>
      </c>
      <c r="L26" s="89" t="n">
        <v>0</v>
      </c>
      <c r="M26" s="89" t="n">
        <v>0</v>
      </c>
      <c r="N26" s="89" t="n">
        <v>0.002</v>
      </c>
      <c r="O26" s="89" t="n">
        <v>0.01</v>
      </c>
    </row>
    <row r="27">
      <c r="A27" s="81" t="inlineStr">
        <is>
          <t>Standard PRSA (B2C)</t>
        </is>
      </c>
      <c r="B27" s="89" t="n">
        <v>0</v>
      </c>
      <c r="C27" s="89" t="n">
        <v>0.008</v>
      </c>
      <c r="D27" s="89" t="n">
        <v>0.015</v>
      </c>
      <c r="E27" s="89" t="n">
        <v>0.025</v>
      </c>
      <c r="G27" s="89" t="n">
        <v>0</v>
      </c>
      <c r="H27" s="89" t="n">
        <v>0.012</v>
      </c>
      <c r="I27" s="89" t="n">
        <v>0.035</v>
      </c>
      <c r="J27" s="89" t="n">
        <v>0.05</v>
      </c>
      <c r="L27" s="89" t="n">
        <v>0</v>
      </c>
      <c r="M27" s="89" t="n">
        <v>0.02</v>
      </c>
      <c r="N27" s="89" t="n">
        <v>0.05</v>
      </c>
      <c r="O27" s="89" t="n">
        <v>0.08</v>
      </c>
    </row>
    <row r="28">
      <c r="A28" s="81" t="inlineStr">
        <is>
          <t>Non-Standard PRSA (B2C)</t>
        </is>
      </c>
      <c r="B28" s="89" t="n">
        <v>0</v>
      </c>
      <c r="C28" s="89" t="n">
        <v>0.003</v>
      </c>
      <c r="D28" s="89" t="n">
        <v>0.005</v>
      </c>
      <c r="E28" s="89" t="n">
        <v>0.01</v>
      </c>
      <c r="G28" s="89" t="n">
        <v>0</v>
      </c>
      <c r="H28" s="89" t="n">
        <v>0.005</v>
      </c>
      <c r="I28" s="89" t="n">
        <v>0.015</v>
      </c>
      <c r="J28" s="89" t="n">
        <v>0.02</v>
      </c>
      <c r="L28" s="89" t="n">
        <v>0</v>
      </c>
      <c r="M28" s="89" t="n">
        <v>0.007</v>
      </c>
      <c r="N28" s="89" t="n">
        <v>0.02</v>
      </c>
      <c r="O28" s="89" t="n">
        <v>0.04</v>
      </c>
    </row>
    <row r="30">
      <c r="A30" s="90" t="inlineStr">
        <is>
          <t>KEY TAKEAWAYS</t>
        </is>
      </c>
    </row>
    <row r="31">
      <c r="A31" s="91" t="inlineStr">
        <is>
          <t xml:space="preserve">  • LOW: does not break even in the four-year plan. Y4 EBITDA is −€175k. Requires further funding beyond the initial raise.</t>
        </is>
      </c>
    </row>
    <row r="32">
      <c r="A32" s="91" t="inlineStr">
        <is>
          <t xml:space="preserve">  • BASE: EBITDA breakeven in Y3 (+€291k). Full-year profitability at 37% margin in Y4. Funded by the €2.25m raise.</t>
        </is>
      </c>
    </row>
    <row r="33">
      <c r="A33" s="91" t="inlineStr">
        <is>
          <t xml:space="preserve">  • HIGH: Breakeven in Y3 (+€2.1m), 53% margin in Y4. Cumulative funding need is lower (€1.6m) vs BASE (€2.1m).</t>
        </is>
      </c>
    </row>
    <row r="34">
      <c r="A34" s="91" t="inlineStr">
        <is>
          <t xml:space="preserve">  • Fixed opex (Y1 €629k · Y2 €1.66m · Y3 €2.19m · Y4 €2.37m) is identical across all scenarios.</t>
        </is>
      </c>
    </row>
    <row r="35">
      <c r="A35" s="91" t="inlineStr">
        <is>
          <t xml:space="preserve">  • Revenue differences are driven entirely by market penetration speed, not by pricing or cost structure.</t>
        </is>
      </c>
    </row>
  </sheetData>
  <mergeCells count="8">
    <mergeCell ref="A31:N31"/>
    <mergeCell ref="B4:E4"/>
    <mergeCell ref="A34:N34"/>
    <mergeCell ref="A35:N35"/>
    <mergeCell ref="G4:J4"/>
    <mergeCell ref="L4:O4"/>
    <mergeCell ref="A33:N33"/>
    <mergeCell ref="A32:N3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F68"/>
  <sheetViews>
    <sheetView showGridLines="0" workbookViewId="0">
      <selection activeCell="A1" sqref="A1"/>
    </sheetView>
  </sheetViews>
  <sheetFormatPr baseColWidth="8" defaultRowHeight="14.5"/>
  <cols>
    <col width="30" customWidth="1" style="29" min="1" max="1"/>
    <col width="12" customWidth="1" style="29" min="2" max="6"/>
  </cols>
  <sheetData>
    <row r="1" ht="24" customHeight="1" s="29">
      <c r="A1" s="35" t="inlineStr">
        <is>
          <t>Assumptions — Base Scenario</t>
        </is>
      </c>
    </row>
    <row r="3" ht="16" customHeight="1" s="29">
      <c r="A3" s="34" t="inlineStr">
        <is>
          <t>Pricing</t>
        </is>
      </c>
    </row>
    <row r="4">
      <c r="A4" s="12" t="inlineStr">
        <is>
          <t xml:space="preserve">  AUM fee (bps, charged to customer)</t>
        </is>
      </c>
      <c r="B4" s="15" t="inlineStr">
        <is>
          <t>50 bps</t>
        </is>
      </c>
      <c r="C4" s="33" t="n"/>
    </row>
    <row r="5">
      <c r="A5" s="12" t="inlineStr">
        <is>
          <t xml:space="preserve">  SaaS — standard (€/employee/month)</t>
        </is>
      </c>
      <c r="B5" s="15" t="inlineStr">
        <is>
          <t>€7.00</t>
        </is>
      </c>
      <c r="C5" s="33" t="inlineStr">
        <is>
          <t>Medium MT, Large DC</t>
        </is>
      </c>
    </row>
    <row r="6">
      <c r="A6" s="12" t="inlineStr">
        <is>
          <t xml:space="preserve">  SaaS — MFF Small Business (€/employee/month)</t>
        </is>
      </c>
      <c r="B6" s="15" t="inlineStr">
        <is>
          <t>€3.50</t>
        </is>
      </c>
      <c r="C6" s="33" t="inlineStr">
        <is>
          <t>Half-price vs My Future Fund competition</t>
        </is>
      </c>
    </row>
    <row r="7">
      <c r="A7" s="12" t="inlineStr">
        <is>
          <t xml:space="preserve">  Health insurance commission</t>
        </is>
      </c>
      <c r="B7" s="15" t="inlineStr">
        <is>
          <t>6%</t>
        </is>
      </c>
      <c r="C7" s="33" t="inlineStr">
        <is>
          <t>6% of €1,500 avg premium; source: Kota Jan 2026 schedule</t>
        </is>
      </c>
    </row>
    <row r="8">
      <c r="A8" s="12" t="inlineStr">
        <is>
          <t xml:space="preserve">  Life insurance commission</t>
        </is>
      </c>
      <c r="B8" s="15" t="inlineStr">
        <is>
          <t>6%</t>
        </is>
      </c>
      <c r="C8" s="33" t="inlineStr">
        <is>
          <t>6% of €75 avg premium; source: Kota Jan 2026 schedule</t>
        </is>
      </c>
    </row>
    <row r="10" ht="16" customHeight="1" s="29">
      <c r="A10" s="34" t="inlineStr">
        <is>
          <t>Variable Costs (COGS)</t>
        </is>
      </c>
    </row>
    <row r="11">
      <c r="A11" s="12" t="inlineStr">
        <is>
          <t xml:space="preserve">  Fund MER (bps, all AUM)</t>
        </is>
      </c>
      <c r="B11" s="15" t="inlineStr">
        <is>
          <t>12 bps</t>
        </is>
      </c>
      <c r="C11" s="33" t="inlineStr">
        <is>
          <t>Index fund total expense ratio</t>
        </is>
      </c>
    </row>
    <row r="12">
      <c r="A12" s="12" t="inlineStr">
        <is>
          <t xml:space="preserve">  PRSA levy (bps, PRSA AUM only)</t>
        </is>
      </c>
      <c r="B12" s="15" t="inlineStr">
        <is>
          <t>5 bps</t>
        </is>
      </c>
      <c r="C12" s="33" t="inlineStr">
        <is>
          <t>Pensions Authority statutory levy on PRSAs</t>
        </is>
      </c>
    </row>
    <row r="13">
      <c r="A13" s="12" t="inlineStr">
        <is>
          <t xml:space="preserve">  Custody fee (bps, all AUM)</t>
        </is>
      </c>
      <c r="B13" s="15" t="inlineStr">
        <is>
          <t>10 bps</t>
        </is>
      </c>
      <c r="C13" s="33" t="inlineStr">
        <is>
          <t>Annual custody; minimum €80K floor</t>
        </is>
      </c>
    </row>
    <row r="14">
      <c r="A14" s="12" t="inlineStr">
        <is>
          <t xml:space="preserve">  Custody setup (Y1 one-time)</t>
        </is>
      </c>
      <c r="B14" s="15" t="inlineStr">
        <is>
          <t>€75,000</t>
        </is>
      </c>
      <c r="C14" s="33" t="inlineStr">
        <is>
          <t>One-time; Y1 only</t>
        </is>
      </c>
    </row>
    <row r="15">
      <c r="A15" s="12" t="inlineStr">
        <is>
          <t xml:space="preserve">  Accruo net spread</t>
        </is>
      </c>
      <c r="B15" s="15" t="inlineStr">
        <is>
          <t>23 bps</t>
        </is>
      </c>
      <c r="C15" s="33" t="n"/>
    </row>
    <row r="17" ht="16" customHeight="1" s="29">
      <c r="A17" s="34" t="inlineStr">
        <is>
          <t>Market Data (Y1 base; 10% annual growth applied)</t>
        </is>
      </c>
    </row>
    <row r="18">
      <c r="A18" s="10" t="inlineStr">
        <is>
          <t>Segment</t>
        </is>
      </c>
      <c r="B18" s="11" t="inlineStr">
        <is>
          <t>Population</t>
        </is>
      </c>
      <c r="C18" s="11" t="inlineStr">
        <is>
          <t>Annual Flow (€m)</t>
        </is>
      </c>
      <c r="D18" s="11" t="inlineStr">
        <is>
          <t>Market AUM (€m)</t>
        </is>
      </c>
      <c r="E18" s="11" t="inlineStr">
        <is>
          <t>Transfer rate</t>
        </is>
      </c>
      <c r="F18" s="11" t="inlineStr">
        <is>
          <t>SaaS price</t>
        </is>
      </c>
    </row>
    <row r="19">
      <c r="A19" s="17" t="inlineStr">
        <is>
          <t>MFF Small Business (B2B)</t>
        </is>
      </c>
      <c r="B19" s="18" t="n">
        <v>768381</v>
      </c>
      <c r="C19" s="18" t="n">
        <v>650</v>
      </c>
      <c r="D19" s="18" t="n">
        <v>700</v>
      </c>
      <c r="E19" s="18" t="inlineStr">
        <is>
          <t>0%</t>
        </is>
      </c>
      <c r="F19" s="18" t="inlineStr">
        <is>
          <t>€3.50/mo</t>
        </is>
      </c>
    </row>
    <row r="20">
      <c r="A20" s="17" t="inlineStr">
        <is>
          <t>Medium Master Trusts (B2B)</t>
        </is>
      </c>
      <c r="B20" s="18" t="n">
        <v>659000</v>
      </c>
      <c r="C20" s="18" t="n">
        <v>5000</v>
      </c>
      <c r="D20" s="18" t="n">
        <v>35200</v>
      </c>
      <c r="E20" s="18" t="inlineStr">
        <is>
          <t>50%</t>
        </is>
      </c>
      <c r="F20" s="18" t="inlineStr">
        <is>
          <t>€7.00/mo</t>
        </is>
      </c>
    </row>
    <row r="21">
      <c r="A21" s="17" t="inlineStr">
        <is>
          <t>Large Standalone DC (B2B)</t>
        </is>
      </c>
      <c r="B21" s="18" t="n">
        <v>200000</v>
      </c>
      <c r="C21" s="18" t="n">
        <v>2000</v>
      </c>
      <c r="D21" s="18" t="n">
        <v>44800</v>
      </c>
      <c r="E21" s="18" t="inlineStr">
        <is>
          <t>50%</t>
        </is>
      </c>
      <c r="F21" s="18" t="inlineStr">
        <is>
          <t>€7.00/mo</t>
        </is>
      </c>
    </row>
    <row r="22">
      <c r="A22" s="17" t="inlineStr">
        <is>
          <t>Standard PRSA (B2C)</t>
        </is>
      </c>
      <c r="B22" s="18" t="n">
        <v>162000</v>
      </c>
      <c r="C22" s="18" t="n">
        <v>680</v>
      </c>
      <c r="D22" s="18" t="n">
        <v>7300</v>
      </c>
      <c r="E22" s="18" t="inlineStr">
        <is>
          <t>80%</t>
        </is>
      </c>
      <c r="F22" s="18" t="inlineStr">
        <is>
          <t>—</t>
        </is>
      </c>
    </row>
    <row r="23">
      <c r="A23" s="17" t="inlineStr">
        <is>
          <t>Non-Standard PRSA (B2C)</t>
        </is>
      </c>
      <c r="B23" s="18" t="n">
        <v>96000</v>
      </c>
      <c r="C23" s="18" t="n">
        <v>1920</v>
      </c>
      <c r="D23" s="18" t="n">
        <v>14200</v>
      </c>
      <c r="E23" s="18" t="inlineStr">
        <is>
          <t>80%</t>
        </is>
      </c>
      <c r="F23" s="18" t="inlineStr">
        <is>
          <t>—</t>
        </is>
      </c>
    </row>
    <row r="25" ht="16" customHeight="1" s="29">
      <c r="A25" s="34" t="inlineStr">
        <is>
          <t>Base Scenario — Market Share Penetration (cumulative, end of year)</t>
        </is>
      </c>
    </row>
    <row r="26">
      <c r="A26" s="10" t="inlineStr">
        <is>
          <t>Segment</t>
        </is>
      </c>
      <c r="B26" s="11" t="inlineStr">
        <is>
          <t>Y1</t>
        </is>
      </c>
      <c r="C26" s="11" t="inlineStr">
        <is>
          <t>Y2</t>
        </is>
      </c>
      <c r="D26" s="11" t="inlineStr">
        <is>
          <t>Y3</t>
        </is>
      </c>
      <c r="E26" s="11" t="inlineStr">
        <is>
          <t>Y4</t>
        </is>
      </c>
      <c r="F26" s="11" t="inlineStr">
        <is>
          <t>Notes</t>
        </is>
      </c>
    </row>
    <row r="27">
      <c r="A27" s="12" t="inlineStr">
        <is>
          <t>MFF Small Business (B2B)</t>
        </is>
      </c>
      <c r="B27" s="13" t="n">
        <v>0</v>
      </c>
      <c r="C27" s="13" t="n">
        <v>0.008</v>
      </c>
      <c r="D27" s="13" t="n">
        <v>0.025</v>
      </c>
      <c r="E27" s="13" t="n">
        <v>0.04</v>
      </c>
      <c r="F27" s="33" t="inlineStr">
        <is>
          <t>Auto-enrolment launch market; no AUM transfer</t>
        </is>
      </c>
    </row>
    <row r="28">
      <c r="A28" s="12" t="inlineStr">
        <is>
          <t>Medium Master Trusts (B2B)</t>
        </is>
      </c>
      <c r="B28" s="13" t="n">
        <v>0</v>
      </c>
      <c r="C28" s="13" t="n">
        <v>0.0015</v>
      </c>
      <c r="D28" s="13" t="n">
        <v>0.008</v>
      </c>
      <c r="E28" s="13" t="n">
        <v>0.015</v>
      </c>
      <c r="F28" s="33" t="inlineStr">
        <is>
          <t>Large AUM transfer (50%); highest unit economics</t>
        </is>
      </c>
    </row>
    <row r="29">
      <c r="A29" s="12" t="inlineStr">
        <is>
          <t>Large Standalone DC (B2B)</t>
        </is>
      </c>
      <c r="B29" s="13" t="n">
        <v>0</v>
      </c>
      <c r="C29" s="13" t="n">
        <v>0</v>
      </c>
      <c r="D29" s="13" t="n">
        <v>0.001</v>
      </c>
      <c r="E29" s="13" t="n">
        <v>0.004</v>
      </c>
      <c r="F29" s="33" t="inlineStr">
        <is>
          <t>Enterprise sales; enters Y3</t>
        </is>
      </c>
    </row>
    <row r="30">
      <c r="A30" s="12" t="inlineStr">
        <is>
          <t>Standard PRSA (B2C)</t>
        </is>
      </c>
      <c r="B30" s="13" t="n">
        <v>0</v>
      </c>
      <c r="C30" s="13" t="n">
        <v>0.012</v>
      </c>
      <c r="D30" s="13" t="n">
        <v>0.035</v>
      </c>
      <c r="E30" s="13" t="n">
        <v>0.05</v>
      </c>
      <c r="F30" s="33" t="inlineStr">
        <is>
          <t>80% AUM transfer; no SaaS or insurance</t>
        </is>
      </c>
    </row>
    <row r="31">
      <c r="A31" s="12" t="inlineStr">
        <is>
          <t>Non-Standard PRSA (B2C)</t>
        </is>
      </c>
      <c r="B31" s="13" t="n">
        <v>0</v>
      </c>
      <c r="C31" s="13" t="n">
        <v>0.005</v>
      </c>
      <c r="D31" s="13" t="n">
        <v>0.015</v>
      </c>
      <c r="E31" s="13" t="n">
        <v>0.02</v>
      </c>
      <c r="F31" s="33" t="inlineStr">
        <is>
          <t>80% AUM transfer; high AUM per saver</t>
        </is>
      </c>
    </row>
    <row r="33" ht="16" customHeight="1" s="29">
      <c r="A33" s="34" t="inlineStr">
        <is>
          <t>Fixed Opex (from Cost Detail)</t>
        </is>
      </c>
    </row>
    <row r="34">
      <c r="A34" s="19" t="inlineStr">
        <is>
          <t>Line</t>
        </is>
      </c>
      <c r="B34" s="19" t="inlineStr">
        <is>
          <t>Y1</t>
        </is>
      </c>
      <c r="C34" s="19" t="inlineStr">
        <is>
          <t>Y2</t>
        </is>
      </c>
      <c r="D34" s="19" t="inlineStr">
        <is>
          <t>Y3</t>
        </is>
      </c>
      <c r="E34" s="19" t="inlineStr">
        <is>
          <t>Y4</t>
        </is>
      </c>
    </row>
    <row r="35">
      <c r="A35" s="12" t="inlineStr">
        <is>
          <t>Fixed opex (incl. 12% contingency)</t>
        </is>
      </c>
      <c r="B35" s="14" t="n">
        <v>629020</v>
      </c>
      <c r="C35" s="14" t="n">
        <v>1663144</v>
      </c>
      <c r="D35" s="14" t="n">
        <v>2191616</v>
      </c>
      <c r="E35" s="14" t="n">
        <v>2370607.68</v>
      </c>
    </row>
    <row r="36">
      <c r="A36" s="12" t="inlineStr">
        <is>
          <t>Regulatory capital (Y1 only, trapped)</t>
        </is>
      </c>
      <c r="B36" s="14" t="n">
        <v>125000</v>
      </c>
      <c r="C36" s="14" t="n">
        <v>0</v>
      </c>
      <c r="D36" s="14" t="n">
        <v>0</v>
      </c>
      <c r="E36" s="14" t="n">
        <v>0</v>
      </c>
    </row>
    <row r="38">
      <c r="A38" s="66" t="inlineStr">
        <is>
          <t>LOW Scenario — Market Share Penetration (cumulative, end of year)</t>
        </is>
      </c>
    </row>
    <row r="39">
      <c r="A39" s="67" t="inlineStr">
        <is>
          <t>Segment</t>
        </is>
      </c>
      <c r="B39" s="67" t="inlineStr">
        <is>
          <t>Y1</t>
        </is>
      </c>
      <c r="C39" s="67" t="inlineStr">
        <is>
          <t>Y2</t>
        </is>
      </c>
      <c r="D39" s="67" t="inlineStr">
        <is>
          <t>Y3</t>
        </is>
      </c>
      <c r="E39" s="67" t="inlineStr">
        <is>
          <t>Y4</t>
        </is>
      </c>
    </row>
    <row r="40">
      <c r="A40" s="68" t="inlineStr">
        <is>
          <t>MFF Small Business</t>
        </is>
      </c>
      <c r="B40" s="69" t="n">
        <v>0</v>
      </c>
      <c r="C40" s="69" t="n">
        <v>0.005</v>
      </c>
      <c r="D40" s="69" t="n">
        <v>0.01</v>
      </c>
      <c r="E40" s="69" t="n">
        <v>0.02</v>
      </c>
    </row>
    <row r="41">
      <c r="A41" s="68" t="inlineStr">
        <is>
          <t>Medium Master Trust</t>
        </is>
      </c>
      <c r="B41" s="69" t="n">
        <v>0</v>
      </c>
      <c r="C41" s="69" t="n">
        <v>0.001</v>
      </c>
      <c r="D41" s="69" t="n">
        <v>0.002</v>
      </c>
      <c r="E41" s="69" t="n">
        <v>0.005</v>
      </c>
    </row>
    <row r="42">
      <c r="A42" s="68" t="inlineStr">
        <is>
          <t>Large Standalone DC</t>
        </is>
      </c>
      <c r="B42" s="69" t="n">
        <v>0</v>
      </c>
      <c r="C42" s="69" t="n">
        <v>0</v>
      </c>
      <c r="D42" s="69" t="n">
        <v>0</v>
      </c>
      <c r="E42" s="69" t="n">
        <v>0.001</v>
      </c>
    </row>
    <row r="43">
      <c r="A43" s="68" t="inlineStr">
        <is>
          <t>Standard PRSA</t>
        </is>
      </c>
      <c r="B43" s="69" t="n">
        <v>0</v>
      </c>
      <c r="C43" s="69" t="n">
        <v>0.008</v>
      </c>
      <c r="D43" s="69" t="n">
        <v>0.015</v>
      </c>
      <c r="E43" s="69" t="n">
        <v>0.025</v>
      </c>
    </row>
    <row r="44">
      <c r="A44" s="68" t="inlineStr">
        <is>
          <t>Non-Standard PRSA</t>
        </is>
      </c>
      <c r="B44" s="69" t="n">
        <v>0</v>
      </c>
      <c r="C44" s="69" t="n">
        <v>0.003</v>
      </c>
      <c r="D44" s="69" t="n">
        <v>0.005</v>
      </c>
      <c r="E44" s="69" t="n">
        <v>0.01</v>
      </c>
    </row>
    <row r="46">
      <c r="A46" s="70" t="inlineStr">
        <is>
          <t>HIGH Scenario — Market Share Penetration (cumulative, end of year)</t>
        </is>
      </c>
    </row>
    <row r="47">
      <c r="A47" s="71" t="inlineStr">
        <is>
          <t>Segment</t>
        </is>
      </c>
      <c r="B47" s="71" t="inlineStr">
        <is>
          <t>Y1</t>
        </is>
      </c>
      <c r="C47" s="71" t="inlineStr">
        <is>
          <t>Y2</t>
        </is>
      </c>
      <c r="D47" s="71" t="inlineStr">
        <is>
          <t>Y3</t>
        </is>
      </c>
      <c r="E47" s="71" t="inlineStr">
        <is>
          <t>Y4</t>
        </is>
      </c>
    </row>
    <row r="48">
      <c r="A48" s="68" t="inlineStr">
        <is>
          <t>MFF Small Business</t>
        </is>
      </c>
      <c r="B48" s="69" t="n">
        <v>0</v>
      </c>
      <c r="C48" s="69" t="n">
        <v>0.015</v>
      </c>
      <c r="D48" s="69" t="n">
        <v>0.04</v>
      </c>
      <c r="E48" s="69" t="n">
        <v>0.08</v>
      </c>
    </row>
    <row r="49">
      <c r="A49" s="68" t="inlineStr">
        <is>
          <t>Medium Master Trust</t>
        </is>
      </c>
      <c r="B49" s="69" t="n">
        <v>0</v>
      </c>
      <c r="C49" s="69" t="n">
        <v>0.003</v>
      </c>
      <c r="D49" s="69" t="n">
        <v>0.015</v>
      </c>
      <c r="E49" s="69" t="n">
        <v>0.035</v>
      </c>
    </row>
    <row r="50">
      <c r="A50" s="68" t="inlineStr">
        <is>
          <t>Large Standalone DC</t>
        </is>
      </c>
      <c r="B50" s="69" t="n">
        <v>0</v>
      </c>
      <c r="C50" s="69" t="n">
        <v>0</v>
      </c>
      <c r="D50" s="69" t="n">
        <v>0.002</v>
      </c>
      <c r="E50" s="69" t="n">
        <v>0.01</v>
      </c>
    </row>
    <row r="51">
      <c r="A51" s="68" t="inlineStr">
        <is>
          <t>Standard PRSA</t>
        </is>
      </c>
      <c r="B51" s="69" t="n">
        <v>0</v>
      </c>
      <c r="C51" s="69" t="n">
        <v>0.02</v>
      </c>
      <c r="D51" s="69" t="n">
        <v>0.05</v>
      </c>
      <c r="E51" s="69" t="n">
        <v>0.08</v>
      </c>
    </row>
    <row r="52">
      <c r="A52" s="68" t="inlineStr">
        <is>
          <t>Non-Standard PRSA</t>
        </is>
      </c>
      <c r="B52" s="69" t="n">
        <v>0</v>
      </c>
      <c r="C52" s="69" t="n">
        <v>0.007</v>
      </c>
      <c r="D52" s="69" t="n">
        <v>0.02</v>
      </c>
      <c r="E52" s="69" t="n">
        <v>0.04</v>
      </c>
    </row>
    <row r="54">
      <c r="A54" s="66" t="inlineStr">
        <is>
          <t>LOW Scenario — Market Share Penetration (cumulative, end of year)</t>
        </is>
      </c>
    </row>
    <row r="55">
      <c r="A55" s="92" t="inlineStr">
        <is>
          <t>Segment</t>
        </is>
      </c>
      <c r="B55" s="46" t="inlineStr">
        <is>
          <t>Y1</t>
        </is>
      </c>
      <c r="C55" s="46" t="inlineStr">
        <is>
          <t>Y2</t>
        </is>
      </c>
      <c r="D55" s="46" t="inlineStr">
        <is>
          <t>Y3</t>
        </is>
      </c>
      <c r="E55" s="46" t="inlineStr">
        <is>
          <t>Y4</t>
        </is>
      </c>
    </row>
    <row r="56">
      <c r="A56" s="68" t="inlineStr">
        <is>
          <t>MFF Small Business</t>
        </is>
      </c>
      <c r="B56" s="89" t="n">
        <v>0</v>
      </c>
      <c r="C56" s="89" t="n">
        <v>0.005</v>
      </c>
      <c r="D56" s="89" t="n">
        <v>0.01</v>
      </c>
      <c r="E56" s="89" t="n">
        <v>0.02</v>
      </c>
    </row>
    <row r="57">
      <c r="A57" s="68" t="inlineStr">
        <is>
          <t>Medium Master Trust</t>
        </is>
      </c>
      <c r="B57" s="89" t="n">
        <v>0</v>
      </c>
      <c r="C57" s="89" t="n">
        <v>0.001</v>
      </c>
      <c r="D57" s="89" t="n">
        <v>0.002</v>
      </c>
      <c r="E57" s="89" t="n">
        <v>0.005</v>
      </c>
    </row>
    <row r="58">
      <c r="A58" s="68" t="inlineStr">
        <is>
          <t>Large Standalone DC</t>
        </is>
      </c>
      <c r="B58" s="89" t="n">
        <v>0</v>
      </c>
      <c r="C58" s="89" t="n">
        <v>0</v>
      </c>
      <c r="D58" s="89" t="n">
        <v>0</v>
      </c>
      <c r="E58" s="89" t="n">
        <v>0.001</v>
      </c>
    </row>
    <row r="59">
      <c r="A59" s="68" t="inlineStr">
        <is>
          <t>Standard PRSA</t>
        </is>
      </c>
      <c r="B59" s="89" t="n">
        <v>0</v>
      </c>
      <c r="C59" s="89" t="n">
        <v>0.008</v>
      </c>
      <c r="D59" s="89" t="n">
        <v>0.015</v>
      </c>
      <c r="E59" s="89" t="n">
        <v>0.025</v>
      </c>
    </row>
    <row r="60">
      <c r="A60" s="68" t="inlineStr">
        <is>
          <t>Non-Standard PRSA</t>
        </is>
      </c>
      <c r="B60" s="89" t="n">
        <v>0</v>
      </c>
      <c r="C60" s="89" t="n">
        <v>0.003</v>
      </c>
      <c r="D60" s="89" t="n">
        <v>0.005</v>
      </c>
      <c r="E60" s="89" t="n">
        <v>0.01</v>
      </c>
    </row>
    <row r="62">
      <c r="A62" s="93" t="inlineStr">
        <is>
          <t>HIGH Scenario — Market Share Penetration (cumulative, end of year)</t>
        </is>
      </c>
    </row>
    <row r="63">
      <c r="A63" s="94" t="inlineStr">
        <is>
          <t>Segment</t>
        </is>
      </c>
      <c r="B63" s="48" t="inlineStr">
        <is>
          <t>Y1</t>
        </is>
      </c>
      <c r="C63" s="48" t="inlineStr">
        <is>
          <t>Y2</t>
        </is>
      </c>
      <c r="D63" s="48" t="inlineStr">
        <is>
          <t>Y3</t>
        </is>
      </c>
      <c r="E63" s="48" t="inlineStr">
        <is>
          <t>Y4</t>
        </is>
      </c>
    </row>
    <row r="64">
      <c r="A64" s="68" t="inlineStr">
        <is>
          <t>MFF Small Business</t>
        </is>
      </c>
      <c r="B64" s="89" t="n">
        <v>0</v>
      </c>
      <c r="C64" s="89" t="n">
        <v>0.015</v>
      </c>
      <c r="D64" s="89" t="n">
        <v>0.04</v>
      </c>
      <c r="E64" s="89" t="n">
        <v>0.08</v>
      </c>
    </row>
    <row r="65">
      <c r="A65" s="68" t="inlineStr">
        <is>
          <t>Medium Master Trust</t>
        </is>
      </c>
      <c r="B65" s="89" t="n">
        <v>0</v>
      </c>
      <c r="C65" s="89" t="n">
        <v>0.003</v>
      </c>
      <c r="D65" s="89" t="n">
        <v>0.015</v>
      </c>
      <c r="E65" s="89" t="n">
        <v>0.035</v>
      </c>
    </row>
    <row r="66">
      <c r="A66" s="68" t="inlineStr">
        <is>
          <t>Large Standalone DC</t>
        </is>
      </c>
      <c r="B66" s="89" t="n">
        <v>0</v>
      </c>
      <c r="C66" s="89" t="n">
        <v>0</v>
      </c>
      <c r="D66" s="89" t="n">
        <v>0.002</v>
      </c>
      <c r="E66" s="89" t="n">
        <v>0.01</v>
      </c>
    </row>
    <row r="67">
      <c r="A67" s="68" t="inlineStr">
        <is>
          <t>Standard PRSA</t>
        </is>
      </c>
      <c r="B67" s="89" t="n">
        <v>0</v>
      </c>
      <c r="C67" s="89" t="n">
        <v>0.02</v>
      </c>
      <c r="D67" s="89" t="n">
        <v>0.05</v>
      </c>
      <c r="E67" s="89" t="n">
        <v>0.08</v>
      </c>
    </row>
    <row r="68">
      <c r="A68" s="68" t="inlineStr">
        <is>
          <t>Non-Standard PRSA</t>
        </is>
      </c>
      <c r="B68" s="89" t="n">
        <v>0</v>
      </c>
      <c r="C68" s="89" t="n">
        <v>0.007</v>
      </c>
      <c r="D68" s="89" t="n">
        <v>0.02</v>
      </c>
      <c r="E68" s="89" t="n">
        <v>0.04</v>
      </c>
    </row>
  </sheetData>
  <mergeCells count="16">
    <mergeCell ref="C13:F13"/>
    <mergeCell ref="A33:F33"/>
    <mergeCell ref="A10:F10"/>
    <mergeCell ref="C8:F8"/>
    <mergeCell ref="C4:F4"/>
    <mergeCell ref="A1:F1"/>
    <mergeCell ref="C12:F12"/>
    <mergeCell ref="C6:F6"/>
    <mergeCell ref="C7:F7"/>
    <mergeCell ref="C15:F15"/>
    <mergeCell ref="A17:F17"/>
    <mergeCell ref="C11:F11"/>
    <mergeCell ref="A3:F3"/>
    <mergeCell ref="C5:F5"/>
    <mergeCell ref="C14:F14"/>
    <mergeCell ref="A25:F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388E3C"/>
    <outlinePr summaryBelow="1" summaryRight="1"/>
    <pageSetUpPr/>
  </sheetPr>
  <dimension ref="A1:F59"/>
  <sheetViews>
    <sheetView showGridLines="0" workbookViewId="0">
      <selection activeCell="A1" sqref="A1"/>
    </sheetView>
  </sheetViews>
  <sheetFormatPr baseColWidth="8" defaultRowHeight="14.5"/>
  <cols>
    <col width="32" customWidth="1" style="29" min="1" max="1"/>
    <col width="12" customWidth="1" style="29" min="2" max="5"/>
  </cols>
  <sheetData>
    <row r="1" ht="24" customHeight="1" s="29">
      <c r="A1" s="35" t="inlineStr">
        <is>
          <t>Revenue Detail by Segment — Base Scenario</t>
        </is>
      </c>
    </row>
    <row r="3">
      <c r="A3" s="36" t="inlineStr">
        <is>
          <t>MFF Small Business (B2B)</t>
        </is>
      </c>
    </row>
    <row r="4">
      <c r="A4" s="11" t="n"/>
      <c r="B4" s="11" t="inlineStr">
        <is>
          <t>Y1</t>
        </is>
      </c>
      <c r="C4" s="11" t="inlineStr">
        <is>
          <t>Y2</t>
        </is>
      </c>
      <c r="D4" s="11" t="inlineStr">
        <is>
          <t>Y3</t>
        </is>
      </c>
      <c r="E4" s="11" t="inlineStr">
        <is>
          <t>Y4</t>
        </is>
      </c>
    </row>
    <row r="5">
      <c r="A5" s="12" t="inlineStr">
        <is>
          <t xml:space="preserve">  Members (end of year)</t>
        </is>
      </c>
      <c r="B5" s="20" t="n"/>
      <c r="C5" s="20" t="n">
        <v>6147.048</v>
      </c>
      <c r="D5" s="20" t="n">
        <v>19209.525</v>
      </c>
      <c r="E5" s="20" t="n">
        <v>30735.24</v>
      </c>
    </row>
    <row r="6">
      <c r="A6" s="12" t="inlineStr">
        <is>
          <t xml:space="preserve">  AUM end of year (€m)</t>
        </is>
      </c>
      <c r="B6" s="21" t="n"/>
      <c r="C6" s="21" t="n">
        <v>6.292000000000001</v>
      </c>
      <c r="D6" s="21" t="n">
        <v>27.92075000000001</v>
      </c>
      <c r="E6" s="21" t="n">
        <v>65.98735000000002</v>
      </c>
    </row>
    <row r="7">
      <c r="A7" s="12" t="inlineStr">
        <is>
          <t xml:space="preserve">  SaaS revenue (€)</t>
        </is>
      </c>
      <c r="B7" s="14" t="n"/>
      <c r="C7" s="14" t="n">
        <v>129088.008</v>
      </c>
      <c r="D7" s="14" t="n">
        <v>532488.0329999999</v>
      </c>
      <c r="E7" s="14" t="n">
        <v>1048840.065</v>
      </c>
    </row>
    <row r="8">
      <c r="A8" s="12" t="inlineStr">
        <is>
          <t xml:space="preserve">  AUM trail fee (€)</t>
        </is>
      </c>
      <c r="B8" s="14" t="n"/>
      <c r="C8" s="14" t="n">
        <v>15730</v>
      </c>
      <c r="D8" s="14" t="n">
        <v>85531.87500000004</v>
      </c>
      <c r="E8" s="14" t="n">
        <v>234770.2500000001</v>
      </c>
    </row>
    <row r="9">
      <c r="A9" s="12" t="inlineStr">
        <is>
          <t xml:space="preserve">  Health commission (€)</t>
        </is>
      </c>
      <c r="B9" s="14" t="n"/>
      <c r="C9" s="14" t="n">
        <v>28214.95032</v>
      </c>
      <c r="D9" s="14" t="n">
        <v>118714.4034714</v>
      </c>
      <c r="E9" s="14" t="n">
        <v>238508.02879254</v>
      </c>
    </row>
    <row r="10">
      <c r="A10" s="12" t="inlineStr">
        <is>
          <t xml:space="preserve">  Life commission (€)</t>
        </is>
      </c>
      <c r="B10" s="14" t="n"/>
      <c r="C10" s="14" t="n">
        <v>2821.495032</v>
      </c>
      <c r="D10" s="14" t="n">
        <v>11871.44034714</v>
      </c>
      <c r="E10" s="14" t="n">
        <v>23850.802879254</v>
      </c>
    </row>
    <row r="11">
      <c r="A11" s="15" t="inlineStr">
        <is>
          <t xml:space="preserve">  Total segment revenue (€)</t>
        </is>
      </c>
      <c r="B11" s="22" t="n"/>
      <c r="C11" s="22" t="n">
        <v>175854.453352</v>
      </c>
      <c r="D11" s="22" t="n">
        <v>748605.7518185399</v>
      </c>
      <c r="E11" s="22" t="n">
        <v>1545969.146671794</v>
      </c>
    </row>
    <row r="13">
      <c r="A13" s="36" t="inlineStr">
        <is>
          <t>Medium Master Trusts (B2B)</t>
        </is>
      </c>
    </row>
    <row r="14">
      <c r="A14" s="11" t="n"/>
      <c r="B14" s="11" t="inlineStr">
        <is>
          <t>Y1</t>
        </is>
      </c>
      <c r="C14" s="11" t="inlineStr">
        <is>
          <t>Y2</t>
        </is>
      </c>
      <c r="D14" s="11" t="inlineStr">
        <is>
          <t>Y3</t>
        </is>
      </c>
      <c r="E14" s="11" t="inlineStr">
        <is>
          <t>Y4</t>
        </is>
      </c>
    </row>
    <row r="15">
      <c r="A15" s="12" t="inlineStr">
        <is>
          <t xml:space="preserve">  Members (end of year)</t>
        </is>
      </c>
      <c r="B15" s="20" t="n"/>
      <c r="C15" s="20" t="n">
        <v>988.5</v>
      </c>
      <c r="D15" s="20" t="n">
        <v>5272</v>
      </c>
      <c r="E15" s="20" t="n">
        <v>9885</v>
      </c>
    </row>
    <row r="16">
      <c r="A16" s="12" t="inlineStr">
        <is>
          <t xml:space="preserve">  AUM end of year (€m)</t>
        </is>
      </c>
      <c r="B16" s="21" t="n"/>
      <c r="C16" s="21" t="n">
        <v>41.01900000000001</v>
      </c>
      <c r="D16" s="21" t="n">
        <v>249.7198</v>
      </c>
      <c r="E16" s="21" t="n">
        <v>558.6449000000001</v>
      </c>
    </row>
    <row r="17">
      <c r="A17" s="12" t="inlineStr">
        <is>
          <t xml:space="preserve">  SaaS revenue (€)</t>
        </is>
      </c>
      <c r="B17" s="14" t="n"/>
      <c r="C17" s="14" t="n">
        <v>41517</v>
      </c>
      <c r="D17" s="14" t="n">
        <v>262941</v>
      </c>
      <c r="E17" s="14" t="n">
        <v>636594</v>
      </c>
    </row>
    <row r="18">
      <c r="A18" s="12" t="inlineStr">
        <is>
          <t xml:space="preserve">  AUM trail fee (€)</t>
        </is>
      </c>
      <c r="B18" s="14" t="n"/>
      <c r="C18" s="14" t="n">
        <v>102547.5</v>
      </c>
      <c r="D18" s="14" t="n">
        <v>726847.0000000001</v>
      </c>
      <c r="E18" s="14" t="n">
        <v>2020911.750000001</v>
      </c>
    </row>
    <row r="19">
      <c r="A19" s="12" t="inlineStr">
        <is>
          <t xml:space="preserve">  Health commission (€)</t>
        </is>
      </c>
      <c r="B19" s="14" t="n"/>
      <c r="C19" s="14" t="n">
        <v>22686.075</v>
      </c>
      <c r="D19" s="14" t="n">
        <v>146552.0445</v>
      </c>
      <c r="E19" s="14" t="n">
        <v>361906.41726</v>
      </c>
    </row>
    <row r="20">
      <c r="A20" s="12" t="inlineStr">
        <is>
          <t xml:space="preserve">  Life commission (€)</t>
        </is>
      </c>
      <c r="B20" s="14" t="n"/>
      <c r="C20" s="14" t="n">
        <v>1814.886</v>
      </c>
      <c r="D20" s="14" t="n">
        <v>11724.16356</v>
      </c>
      <c r="E20" s="14" t="n">
        <v>28952.5133808</v>
      </c>
    </row>
    <row r="21">
      <c r="A21" s="15" t="inlineStr">
        <is>
          <t xml:space="preserve">  Total segment revenue (€)</t>
        </is>
      </c>
      <c r="B21" s="22" t="n"/>
      <c r="C21" s="22" t="n">
        <v>168565.461</v>
      </c>
      <c r="D21" s="22" t="n">
        <v>1148064.20806</v>
      </c>
      <c r="E21" s="22" t="n">
        <v>3048364.680640801</v>
      </c>
    </row>
    <row r="23">
      <c r="A23" s="36" t="inlineStr">
        <is>
          <t>Large Standalone DC (B2B)</t>
        </is>
      </c>
    </row>
    <row r="24">
      <c r="A24" s="11" t="n"/>
      <c r="B24" s="11" t="inlineStr">
        <is>
          <t>Y1</t>
        </is>
      </c>
      <c r="C24" s="11" t="inlineStr">
        <is>
          <t>Y2</t>
        </is>
      </c>
      <c r="D24" s="11" t="inlineStr">
        <is>
          <t>Y3</t>
        </is>
      </c>
      <c r="E24" s="11" t="inlineStr">
        <is>
          <t>Y4</t>
        </is>
      </c>
    </row>
    <row r="25">
      <c r="A25" s="12" t="inlineStr">
        <is>
          <t xml:space="preserve">  Members (end of year)</t>
        </is>
      </c>
      <c r="B25" s="20" t="n"/>
      <c r="C25" s="20" t="n"/>
      <c r="D25" s="20" t="n">
        <v>200</v>
      </c>
      <c r="E25" s="20" t="n">
        <v>800</v>
      </c>
    </row>
    <row r="26">
      <c r="A26" s="12" t="inlineStr">
        <is>
          <t xml:space="preserve">  AUM end of year (€m)</t>
        </is>
      </c>
      <c r="B26" s="21" t="n"/>
      <c r="C26" s="21" t="n"/>
      <c r="D26" s="21" t="n">
        <v>32.47640000000001</v>
      </c>
      <c r="E26" s="21" t="n">
        <v>145.5581600000001</v>
      </c>
    </row>
    <row r="27">
      <c r="A27" s="12" t="inlineStr">
        <is>
          <t xml:space="preserve">  SaaS revenue (€)</t>
        </is>
      </c>
      <c r="B27" s="14" t="n"/>
      <c r="C27" s="14" t="n"/>
      <c r="D27" s="14" t="n">
        <v>8400</v>
      </c>
      <c r="E27" s="14" t="n">
        <v>42000</v>
      </c>
    </row>
    <row r="28">
      <c r="A28" s="12" t="inlineStr">
        <is>
          <t xml:space="preserve">  AUM trail fee (€)</t>
        </is>
      </c>
      <c r="B28" s="14" t="n"/>
      <c r="C28" s="14" t="n"/>
      <c r="D28" s="14" t="n">
        <v>81191.00000000003</v>
      </c>
      <c r="E28" s="14" t="n">
        <v>445086.4000000003</v>
      </c>
    </row>
    <row r="29">
      <c r="A29" s="12" t="inlineStr">
        <is>
          <t xml:space="preserve">  Health commission (€)</t>
        </is>
      </c>
      <c r="B29" s="14" t="n"/>
      <c r="C29" s="14" t="n"/>
      <c r="D29" s="14" t="n">
        <v>9363.6</v>
      </c>
      <c r="E29" s="14" t="n">
        <v>47754.36</v>
      </c>
    </row>
    <row r="30">
      <c r="A30" s="12" t="inlineStr">
        <is>
          <t xml:space="preserve">  Life commission (€)</t>
        </is>
      </c>
      <c r="B30" s="14" t="n"/>
      <c r="C30" s="14" t="n"/>
      <c r="D30" s="14" t="n">
        <v>468.18</v>
      </c>
      <c r="E30" s="14" t="n">
        <v>2387.718</v>
      </c>
    </row>
    <row r="31">
      <c r="A31" s="15" t="inlineStr">
        <is>
          <t xml:space="preserve">  Total segment revenue (€)</t>
        </is>
      </c>
      <c r="B31" s="22" t="n"/>
      <c r="C31" s="22" t="n"/>
      <c r="D31" s="22" t="n">
        <v>99422.78000000003</v>
      </c>
      <c r="E31" s="22" t="n">
        <v>537228.4780000002</v>
      </c>
    </row>
    <row r="33">
      <c r="A33" s="36" t="inlineStr">
        <is>
          <t>Standard PRSA (B2C)</t>
        </is>
      </c>
    </row>
    <row r="34">
      <c r="A34" s="11" t="n"/>
      <c r="B34" s="11" t="inlineStr">
        <is>
          <t>Y1</t>
        </is>
      </c>
      <c r="C34" s="11" t="inlineStr">
        <is>
          <t>Y2</t>
        </is>
      </c>
      <c r="D34" s="11" t="inlineStr">
        <is>
          <t>Y3</t>
        </is>
      </c>
      <c r="E34" s="11" t="inlineStr">
        <is>
          <t>Y4</t>
        </is>
      </c>
    </row>
    <row r="35">
      <c r="A35" s="12" t="inlineStr">
        <is>
          <t xml:space="preserve">  Members (end of year)</t>
        </is>
      </c>
      <c r="B35" s="20" t="n"/>
      <c r="C35" s="20" t="n">
        <v>1944</v>
      </c>
      <c r="D35" s="20" t="n">
        <v>5670.000000000001</v>
      </c>
      <c r="E35" s="20" t="n">
        <v>8100</v>
      </c>
    </row>
    <row r="36">
      <c r="A36" s="12" t="inlineStr">
        <is>
          <t xml:space="preserve">  AUM end of year (€m)</t>
        </is>
      </c>
      <c r="B36" s="21" t="n"/>
      <c r="C36" s="21" t="n">
        <v>94.67040000000003</v>
      </c>
      <c r="D36" s="21" t="n">
        <v>313.6078000000001</v>
      </c>
      <c r="E36" s="21" t="n">
        <v>518.8480000000002</v>
      </c>
    </row>
    <row r="37">
      <c r="A37" s="12" t="inlineStr">
        <is>
          <t xml:space="preserve">  SaaS revenue (€)</t>
        </is>
      </c>
      <c r="B37" s="14" t="n"/>
      <c r="C37" s="14" t="n"/>
      <c r="D37" s="14" t="n"/>
      <c r="E37" s="14" t="n"/>
    </row>
    <row r="38">
      <c r="A38" s="12" t="inlineStr">
        <is>
          <t xml:space="preserve">  AUM trail fee (€)</t>
        </is>
      </c>
      <c r="B38" s="14" t="n"/>
      <c r="C38" s="14" t="n">
        <v>236676.0000000001</v>
      </c>
      <c r="D38" s="14" t="n">
        <v>1020695.5</v>
      </c>
      <c r="E38" s="14" t="n">
        <v>2081139.500000001</v>
      </c>
    </row>
    <row r="39">
      <c r="A39" s="12" t="inlineStr">
        <is>
          <t xml:space="preserve">  Health commission (€)</t>
        </is>
      </c>
      <c r="B39" s="14" t="n"/>
      <c r="C39" s="14" t="n"/>
      <c r="D39" s="14" t="n"/>
      <c r="E39" s="14" t="n"/>
    </row>
    <row r="40">
      <c r="A40" s="12" t="inlineStr">
        <is>
          <t xml:space="preserve">  Life commission (€)</t>
        </is>
      </c>
      <c r="B40" s="14" t="n"/>
      <c r="C40" s="14" t="n"/>
      <c r="D40" s="14" t="n"/>
      <c r="E40" s="14" t="n"/>
    </row>
    <row r="41">
      <c r="A41" s="15" t="inlineStr">
        <is>
          <t xml:space="preserve">  Total segment revenue (€)</t>
        </is>
      </c>
      <c r="B41" s="22" t="n"/>
      <c r="C41" s="22" t="n">
        <v>236676.0000000001</v>
      </c>
      <c r="D41" s="22" t="n">
        <v>1020695.5</v>
      </c>
      <c r="E41" s="22" t="n">
        <v>2081139.500000001</v>
      </c>
    </row>
    <row r="43">
      <c r="A43" s="36" t="inlineStr">
        <is>
          <t>Non-Standard PRSA (B2C)</t>
        </is>
      </c>
    </row>
    <row r="44">
      <c r="A44" s="11" t="n"/>
      <c r="B44" s="11" t="inlineStr">
        <is>
          <t>Y1</t>
        </is>
      </c>
      <c r="C44" s="11" t="inlineStr">
        <is>
          <t>Y2</t>
        </is>
      </c>
      <c r="D44" s="11" t="inlineStr">
        <is>
          <t>Y3</t>
        </is>
      </c>
      <c r="E44" s="11" t="inlineStr">
        <is>
          <t>Y4</t>
        </is>
      </c>
    </row>
    <row r="45">
      <c r="A45" s="12" t="inlineStr">
        <is>
          <t xml:space="preserve">  Members (end of year)</t>
        </is>
      </c>
      <c r="B45" s="20" t="n"/>
      <c r="C45" s="20" t="n">
        <v>480</v>
      </c>
      <c r="D45" s="20" t="n">
        <v>1440</v>
      </c>
      <c r="E45" s="20" t="n">
        <v>1920</v>
      </c>
    </row>
    <row r="46">
      <c r="A46" s="12" t="inlineStr">
        <is>
          <t xml:space="preserve">  AUM end of year (€m)</t>
        </is>
      </c>
      <c r="B46" s="21" t="n"/>
      <c r="C46" s="21" t="n">
        <v>80.34400000000002</v>
      </c>
      <c r="D46" s="21" t="n">
        <v>276.7512</v>
      </c>
      <c r="E46" s="21" t="n">
        <v>438.8137600000001</v>
      </c>
    </row>
    <row r="47">
      <c r="A47" s="12" t="inlineStr">
        <is>
          <t xml:space="preserve">  SaaS revenue (€)</t>
        </is>
      </c>
      <c r="B47" s="14" t="n"/>
      <c r="C47" s="14" t="n"/>
      <c r="D47" s="14" t="n"/>
      <c r="E47" s="14" t="n"/>
    </row>
    <row r="48">
      <c r="A48" s="12" t="inlineStr">
        <is>
          <t xml:space="preserve">  AUM trail fee (€)</t>
        </is>
      </c>
      <c r="B48" s="14" t="n"/>
      <c r="C48" s="14" t="n">
        <v>200860.0000000001</v>
      </c>
      <c r="D48" s="14" t="n">
        <v>892738.0000000003</v>
      </c>
      <c r="E48" s="14" t="n">
        <v>1788912.4</v>
      </c>
    </row>
    <row r="49">
      <c r="A49" s="12" t="inlineStr">
        <is>
          <t xml:space="preserve">  Health commission (€)</t>
        </is>
      </c>
      <c r="B49" s="14" t="n"/>
      <c r="C49" s="14" t="n"/>
      <c r="D49" s="14" t="n"/>
      <c r="E49" s="14" t="n"/>
    </row>
    <row r="50">
      <c r="A50" s="12" t="inlineStr">
        <is>
          <t xml:space="preserve">  Life commission (€)</t>
        </is>
      </c>
      <c r="B50" s="14" t="n"/>
      <c r="C50" s="14" t="n"/>
      <c r="D50" s="14" t="n"/>
      <c r="E50" s="14" t="n"/>
    </row>
    <row r="51">
      <c r="A51" s="15" t="inlineStr">
        <is>
          <t xml:space="preserve">  Total segment revenue (€)</t>
        </is>
      </c>
      <c r="B51" s="22" t="n"/>
      <c r="C51" s="22" t="n">
        <v>200860.0000000001</v>
      </c>
      <c r="D51" s="22" t="n">
        <v>892738.0000000003</v>
      </c>
      <c r="E51" s="22" t="n">
        <v>1788912.4</v>
      </c>
    </row>
    <row r="53" ht="16" customHeight="1" s="29">
      <c r="A53" s="34" t="inlineStr">
        <is>
          <t>Revenue Totals by Stream</t>
        </is>
      </c>
    </row>
    <row r="54">
      <c r="A54" s="10" t="inlineStr">
        <is>
          <t>Stream</t>
        </is>
      </c>
      <c r="B54" s="11" t="inlineStr">
        <is>
          <t>Y1</t>
        </is>
      </c>
      <c r="C54" s="11" t="inlineStr">
        <is>
          <t>Y2</t>
        </is>
      </c>
      <c r="D54" s="11" t="inlineStr">
        <is>
          <t>Y3</t>
        </is>
      </c>
      <c r="E54" s="11" t="inlineStr">
        <is>
          <t>Y4</t>
        </is>
      </c>
    </row>
    <row r="55">
      <c r="A55" s="12" t="inlineStr">
        <is>
          <t>AUM trail fees</t>
        </is>
      </c>
      <c r="B55" s="14" t="n"/>
      <c r="C55" s="14" t="n">
        <v>555813.5000000002</v>
      </c>
      <c r="D55" s="14" t="n">
        <v>2807003.375000001</v>
      </c>
      <c r="E55" s="14" t="n">
        <v>6570820.300000002</v>
      </c>
    </row>
    <row r="56">
      <c r="A56" s="12" t="inlineStr">
        <is>
          <t>SaaS subscription</t>
        </is>
      </c>
      <c r="B56" s="14" t="n"/>
      <c r="C56" s="14" t="n">
        <v>170605.008</v>
      </c>
      <c r="D56" s="14" t="n">
        <v>803829.0329999999</v>
      </c>
      <c r="E56" s="14" t="n">
        <v>1727434.065</v>
      </c>
    </row>
    <row r="57">
      <c r="A57" s="12" t="inlineStr">
        <is>
          <t>Health insurance commission</t>
        </is>
      </c>
      <c r="B57" s="14" t="n"/>
      <c r="C57" s="14" t="n">
        <v>50901.02532</v>
      </c>
      <c r="D57" s="14" t="n">
        <v>274630.0479714</v>
      </c>
      <c r="E57" s="14" t="n">
        <v>648168.80605254</v>
      </c>
    </row>
    <row r="58">
      <c r="A58" s="12" t="inlineStr">
        <is>
          <t>Life insurance commission</t>
        </is>
      </c>
      <c r="B58" s="14" t="n"/>
      <c r="C58" s="14" t="n">
        <v>4636.381032</v>
      </c>
      <c r="D58" s="14" t="n">
        <v>24063.78390714</v>
      </c>
      <c r="E58" s="14" t="n">
        <v>55191.034260054</v>
      </c>
    </row>
    <row r="59">
      <c r="A59" s="15" t="inlineStr">
        <is>
          <t>Total revenue</t>
        </is>
      </c>
      <c r="B59" s="22" t="n"/>
      <c r="C59" s="22" t="n">
        <v>781955.9143520002</v>
      </c>
      <c r="D59" s="22" t="n">
        <v>3909526.239878541</v>
      </c>
      <c r="E59" s="22" t="n">
        <v>9001614.205312597</v>
      </c>
    </row>
  </sheetData>
  <mergeCells count="7">
    <mergeCell ref="A43:E43"/>
    <mergeCell ref="A33:E33"/>
    <mergeCell ref="A1:E1"/>
    <mergeCell ref="A23:E23"/>
    <mergeCell ref="A13:E13"/>
    <mergeCell ref="A53:F53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43A047"/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4.5"/>
  <cols>
    <col width="34" customWidth="1" style="29" min="1" max="1"/>
    <col width="13" customWidth="1" style="29" min="2" max="5"/>
  </cols>
  <sheetData>
    <row r="1" ht="24" customHeight="1" s="29">
      <c r="A1" s="35" t="inlineStr">
        <is>
          <t>Profit &amp; Loss — Base Scenario</t>
        </is>
      </c>
    </row>
    <row r="3">
      <c r="A3" s="23" t="n"/>
      <c r="B3" s="23" t="inlineStr">
        <is>
          <t>Y1</t>
        </is>
      </c>
      <c r="C3" s="23" t="inlineStr">
        <is>
          <t>Y2</t>
        </is>
      </c>
      <c r="D3" s="23" t="inlineStr">
        <is>
          <t>Y3</t>
        </is>
      </c>
      <c r="E3" s="23" t="inlineStr">
        <is>
          <t>Y4</t>
        </is>
      </c>
    </row>
    <row r="4" ht="14" customHeight="1" s="29">
      <c r="A4" s="30" t="inlineStr">
        <is>
          <t>Revenue</t>
        </is>
      </c>
    </row>
    <row r="5">
      <c r="A5" s="12" t="inlineStr">
        <is>
          <t xml:space="preserve">  SaaS subscription</t>
        </is>
      </c>
      <c r="B5" s="14" t="n"/>
      <c r="C5" s="14" t="n">
        <v>170605.008</v>
      </c>
      <c r="D5" s="14" t="n">
        <v>803829.0329999999</v>
      </c>
      <c r="E5" s="14" t="n">
        <v>1727434.065</v>
      </c>
    </row>
    <row r="6">
      <c r="A6" s="12" t="inlineStr">
        <is>
          <t xml:space="preserve">  AUM trail fees</t>
        </is>
      </c>
      <c r="B6" s="14" t="n"/>
      <c r="C6" s="14" t="n">
        <v>555813.5000000002</v>
      </c>
      <c r="D6" s="14" t="n">
        <v>2807003.375000001</v>
      </c>
      <c r="E6" s="14" t="n">
        <v>6570820.300000002</v>
      </c>
    </row>
    <row r="7">
      <c r="A7" s="12" t="inlineStr">
        <is>
          <t xml:space="preserve">  Health insurance commission</t>
        </is>
      </c>
      <c r="B7" s="14" t="n"/>
      <c r="C7" s="14" t="n">
        <v>50901.02532</v>
      </c>
      <c r="D7" s="14" t="n">
        <v>274630.0479714</v>
      </c>
      <c r="E7" s="14" t="n">
        <v>648168.80605254</v>
      </c>
    </row>
    <row r="8">
      <c r="A8" s="12" t="inlineStr">
        <is>
          <t xml:space="preserve">  Life insurance commission</t>
        </is>
      </c>
      <c r="B8" s="14" t="n"/>
      <c r="C8" s="14" t="n">
        <v>4636.381032</v>
      </c>
      <c r="D8" s="14" t="n">
        <v>24063.78390714</v>
      </c>
      <c r="E8" s="14" t="n">
        <v>55191.034260054</v>
      </c>
    </row>
    <row r="9">
      <c r="A9" s="24" t="inlineStr">
        <is>
          <t xml:space="preserve">  Total revenue</t>
        </is>
      </c>
      <c r="B9" s="22" t="n"/>
      <c r="C9" s="22" t="n">
        <v>781955.9143520002</v>
      </c>
      <c r="D9" s="22" t="n">
        <v>3909526.239878541</v>
      </c>
      <c r="E9" s="22" t="n">
        <v>9001614.205312597</v>
      </c>
    </row>
    <row r="10" ht="14" customHeight="1" s="29">
      <c r="A10" s="30" t="inlineStr">
        <is>
          <t>COGS (variable, AUM-linked)</t>
        </is>
      </c>
    </row>
    <row r="11">
      <c r="A11" s="12" t="inlineStr">
        <is>
          <t xml:space="preserve">  Fund MER (12 bps on all AUM)</t>
        </is>
      </c>
      <c r="B11" s="14" t="n"/>
      <c r="C11" s="14" t="n">
        <v>-133395.24</v>
      </c>
      <c r="D11" s="14" t="n">
        <v>-673680.8100000002</v>
      </c>
      <c r="E11" s="14" t="n">
        <v>-1576996.872</v>
      </c>
    </row>
    <row r="12">
      <c r="A12" s="12" t="inlineStr">
        <is>
          <t xml:space="preserve">  PRSA levy (5 bps on PRSA AUM)</t>
        </is>
      </c>
      <c r="B12" s="14" t="n"/>
      <c r="C12" s="14" t="n">
        <v>-43753.60000000001</v>
      </c>
      <c r="D12" s="14" t="n">
        <v>-191343.35</v>
      </c>
      <c r="E12" s="14" t="n">
        <v>-387005.1900000001</v>
      </c>
    </row>
    <row r="13">
      <c r="A13" s="12" t="inlineStr">
        <is>
          <t xml:space="preserve">  Custody (max 10 bps or €80K floor)</t>
        </is>
      </c>
      <c r="B13" s="14" t="n">
        <v>-155000</v>
      </c>
      <c r="C13" s="14" t="n">
        <v>-111162.7</v>
      </c>
      <c r="D13" s="14" t="n">
        <v>-561400.6750000003</v>
      </c>
      <c r="E13" s="14" t="n">
        <v>-1314164.06</v>
      </c>
    </row>
    <row r="14">
      <c r="A14" s="24" t="inlineStr">
        <is>
          <t xml:space="preserve">  Total COGS</t>
        </is>
      </c>
      <c r="B14" s="22" t="n">
        <v>-155000</v>
      </c>
      <c r="C14" s="22" t="n">
        <v>-288311.54</v>
      </c>
      <c r="D14" s="22" t="n">
        <v>-1426424.835</v>
      </c>
      <c r="E14" s="22" t="n">
        <v>-3278166.122</v>
      </c>
    </row>
    <row r="15" ht="14" customHeight="1" s="29">
      <c r="A15" s="30" t="inlineStr">
        <is>
          <t>Profitability</t>
        </is>
      </c>
    </row>
    <row r="16">
      <c r="A16" s="24" t="inlineStr">
        <is>
          <t xml:space="preserve">  Gross Profit</t>
        </is>
      </c>
      <c r="B16" s="22" t="n">
        <v>-155000</v>
      </c>
      <c r="C16" s="22" t="n">
        <v>493644.3743520002</v>
      </c>
      <c r="D16" s="22" t="n">
        <v>2483101.40487854</v>
      </c>
      <c r="E16" s="22" t="n">
        <v>5723448.083312596</v>
      </c>
    </row>
    <row r="17">
      <c r="A17" s="12" t="inlineStr">
        <is>
          <t xml:space="preserve">  Gross margin %</t>
        </is>
      </c>
      <c r="B17" s="13" t="n"/>
      <c r="C17" s="13" t="n">
        <v>0.631294380273444</v>
      </c>
      <c r="D17" s="13" t="n">
        <v>0.6351412556207026</v>
      </c>
      <c r="E17" s="13" t="n">
        <v>0.6358246368673206</v>
      </c>
    </row>
    <row r="18">
      <c r="A18" s="12" t="inlineStr">
        <is>
          <t xml:space="preserve">  (−) Fixed opex</t>
        </is>
      </c>
      <c r="B18" s="14" t="n">
        <v>-629020</v>
      </c>
      <c r="C18" s="14" t="n">
        <v>-1663144</v>
      </c>
      <c r="D18" s="14" t="n">
        <v>-2191616</v>
      </c>
      <c r="E18" s="14" t="n">
        <v>-2370607.68</v>
      </c>
    </row>
    <row r="19">
      <c r="A19" s="24" t="inlineStr">
        <is>
          <t xml:space="preserve">  EBITDA</t>
        </is>
      </c>
      <c r="B19" s="22" t="n">
        <v>-784020</v>
      </c>
      <c r="C19" s="22" t="n">
        <v>-1169499.625648</v>
      </c>
      <c r="D19" s="22" t="n">
        <v>291485.4048785404</v>
      </c>
      <c r="E19" s="22" t="n">
        <v>3352840.403312596</v>
      </c>
    </row>
    <row r="20">
      <c r="A20" s="12" t="inlineStr">
        <is>
          <t xml:space="preserve">  EBITDA margin %</t>
        </is>
      </c>
      <c r="B20" s="13" t="n"/>
      <c r="C20" s="13" t="n">
        <v>-1.495608133633919</v>
      </c>
      <c r="D20" s="13" t="n">
        <v>0.07455773078213082</v>
      </c>
      <c r="E20" s="13" t="n">
        <v>0.3724710176241288</v>
      </c>
    </row>
    <row r="21" ht="14" customHeight="1" s="29">
      <c r="A21" s="30" t="inlineStr">
        <is>
          <t>Cash</t>
        </is>
      </c>
    </row>
    <row r="22">
      <c r="A22" s="12" t="inlineStr">
        <is>
          <t xml:space="preserve">  Regulatory capital (Y1, trapped)</t>
        </is>
      </c>
      <c r="B22" s="14" t="n">
        <v>125000</v>
      </c>
      <c r="C22" s="14" t="n">
        <v>0</v>
      </c>
      <c r="D22" s="14" t="n">
        <v>0</v>
      </c>
      <c r="E22" s="14" t="n">
        <v>0</v>
      </c>
    </row>
    <row r="23">
      <c r="A23" s="12" t="inlineStr">
        <is>
          <t xml:space="preserve">  Annual cash need</t>
        </is>
      </c>
      <c r="B23" s="14" t="n">
        <v>909020</v>
      </c>
      <c r="C23" s="14" t="n">
        <v>1169499.625648</v>
      </c>
      <c r="D23" s="14" t="n">
        <v>0</v>
      </c>
      <c r="E23" s="14" t="n">
        <v>0</v>
      </c>
    </row>
    <row r="24">
      <c r="A24" s="24" t="inlineStr">
        <is>
          <t xml:space="preserve">  Cumulative cash need</t>
        </is>
      </c>
      <c r="B24" s="22" t="n">
        <v>909020</v>
      </c>
      <c r="C24" s="22" t="n">
        <v>2078519.625648</v>
      </c>
      <c r="D24" s="22" t="n">
        <v>2078519.625648</v>
      </c>
      <c r="E24" s="22" t="n">
        <v>2078519.625648</v>
      </c>
    </row>
  </sheetData>
  <mergeCells count="5">
    <mergeCell ref="A21:E21"/>
    <mergeCell ref="A4:E4"/>
    <mergeCell ref="A15:E15"/>
    <mergeCell ref="A10:E10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4CAF50"/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4.5"/>
  <cols>
    <col width="28" customWidth="1" style="29" min="1" max="1"/>
    <col width="16" customWidth="1" style="29" min="2" max="5"/>
  </cols>
  <sheetData>
    <row r="1" ht="24" customHeight="1" s="29">
      <c r="A1" s="35" t="inlineStr">
        <is>
          <t>Unit Economics (LTV / CAC) — Base Scenario Y4 Run-rate</t>
        </is>
      </c>
    </row>
    <row r="3">
      <c r="A3" s="25" t="inlineStr">
        <is>
          <t>Metric</t>
        </is>
      </c>
      <c r="B3" s="26" t="inlineStr">
        <is>
          <t>MFF Small (10 staff)</t>
        </is>
      </c>
      <c r="C3" s="26" t="inlineStr">
        <is>
          <t>Mid-Market (50 staff)</t>
        </is>
      </c>
      <c r="D3" s="26" t="inlineStr">
        <is>
          <t>Large Enterprise (1,000 staff)</t>
        </is>
      </c>
      <c r="E3" s="26" t="inlineStr">
        <is>
          <t>Individual PRSA</t>
        </is>
      </c>
    </row>
    <row r="4">
      <c r="A4" s="12" t="inlineStr">
        <is>
          <t>Representative customer</t>
        </is>
      </c>
      <c r="B4" s="18" t="inlineStr">
        <is>
          <t>10 staff</t>
        </is>
      </c>
      <c r="C4" s="18" t="inlineStr">
        <is>
          <t>50 staff</t>
        </is>
      </c>
      <c r="D4" s="18" t="inlineStr">
        <is>
          <t>1,000 staff</t>
        </is>
      </c>
      <c r="E4" s="18" t="inlineStr">
        <is>
          <t>1 saver</t>
        </is>
      </c>
    </row>
    <row r="5">
      <c r="A5" s="12" t="inlineStr">
        <is>
          <t>Employer churn / tenure</t>
        </is>
      </c>
      <c r="B5" s="18" t="inlineStr">
        <is>
          <t>~10% · 10 yrs</t>
        </is>
      </c>
      <c r="C5" s="18" t="inlineStr">
        <is>
          <t>~6% · 17 yrs</t>
        </is>
      </c>
      <c r="D5" s="18" t="inlineStr">
        <is>
          <t>~3% · 33 yrs</t>
        </is>
      </c>
      <c r="E5" s="18" t="inlineStr">
        <is>
          <t>—</t>
        </is>
      </c>
    </row>
    <row r="6">
      <c r="A6" s="12" t="inlineStr">
        <is>
          <t>Saver churn / tenure</t>
        </is>
      </c>
      <c r="B6" s="18" t="inlineStr">
        <is>
          <t>~5% · 20 yrs</t>
        </is>
      </c>
      <c r="C6" s="18" t="inlineStr">
        <is>
          <t>~4% · 25 yrs</t>
        </is>
      </c>
      <c r="D6" s="18" t="inlineStr">
        <is>
          <t>~3% · 30 yrs</t>
        </is>
      </c>
      <c r="E6" s="18" t="inlineStr">
        <is>
          <t>~3% · 30 yrs</t>
        </is>
      </c>
    </row>
    <row r="7">
      <c r="A7" s="12" t="inlineStr">
        <is>
          <t>Annual revenue per employer (Y4)</t>
        </is>
      </c>
      <c r="B7" s="14" t="n">
        <v>502.9956319429404</v>
      </c>
      <c r="C7" s="14" t="n">
        <v>15419.14355407588</v>
      </c>
      <c r="D7" s="14" t="n">
        <v>671535.5975000003</v>
      </c>
      <c r="E7" s="18" t="n"/>
    </row>
    <row r="8">
      <c r="A8" s="24" t="inlineStr">
        <is>
          <t>LTV per employer</t>
        </is>
      </c>
      <c r="B8" s="22" t="n">
        <v>10059.91263885881</v>
      </c>
      <c r="C8" s="22" t="n">
        <v>385478.5888518969</v>
      </c>
      <c r="D8" s="22" t="n">
        <v>20146067.92500001</v>
      </c>
      <c r="E8" s="27" t="n"/>
    </row>
    <row r="9">
      <c r="A9" s="24" t="inlineStr">
        <is>
          <t>LTV per saver</t>
        </is>
      </c>
      <c r="B9" s="22" t="n">
        <v>1005.991263885881</v>
      </c>
      <c r="C9" s="22" t="n">
        <v>7709.571777037938</v>
      </c>
      <c r="D9" s="22" t="n">
        <v>20146.06792500001</v>
      </c>
      <c r="E9" s="22" t="n">
        <v>11586.98173652695</v>
      </c>
    </row>
    <row r="10">
      <c r="A10" s="12" t="inlineStr">
        <is>
          <t>Indicative CAC</t>
        </is>
      </c>
      <c r="B10" s="14" t="n">
        <v>1450</v>
      </c>
      <c r="C10" s="14" t="n">
        <v>4900</v>
      </c>
      <c r="D10" s="18" t="inlineStr">
        <is>
          <t>€15,000–50,000</t>
        </is>
      </c>
      <c r="E10" s="18" t="inlineStr">
        <is>
          <t>€50–150</t>
        </is>
      </c>
    </row>
    <row r="12" ht="30" customHeight="1" s="29">
      <c r="A12" s="37" t="inlineStr">
        <is>
          <t>Sources: Employer churn — CSO Ireland business birth-death (~10%/yr SMEs). Saver churn — PensionBee IPO (97% retention); PRSA portability means employer churn ≠ saver churn. CAC — Data-Mania B2B fintech 2025 benchmarks; enterprise estimated.</t>
        </is>
      </c>
    </row>
  </sheetData>
  <mergeCells count="2">
    <mergeCell ref="A1:E1"/>
    <mergeCell ref="A12:E1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66BB6A"/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4.5"/>
  <sheetData>
    <row r="1">
      <c r="A1" t="inlineStr">
        <is>
          <t>Year</t>
        </is>
      </c>
      <c r="B1" t="inlineStr">
        <is>
          <t>AUM Trail</t>
        </is>
      </c>
      <c r="C1" t="inlineStr">
        <is>
          <t>SaaS</t>
        </is>
      </c>
      <c r="D1" t="inlineStr">
        <is>
          <t>Insurance</t>
        </is>
      </c>
      <c r="E1" t="inlineStr">
        <is>
          <t>Total Revenue</t>
        </is>
      </c>
      <c r="F1" t="inlineStr">
        <is>
          <t>EBITDA</t>
        </is>
      </c>
      <c r="G1" t="inlineStr">
        <is>
          <t>AUM (€m)</t>
        </is>
      </c>
      <c r="H1" t="inlineStr">
        <is>
          <t>Members</t>
        </is>
      </c>
    </row>
    <row r="2">
      <c r="A2" t="inlineStr">
        <is>
          <t>Y1</t>
        </is>
      </c>
      <c r="B2" t="n">
        <v>0</v>
      </c>
      <c r="C2" t="n">
        <v>0</v>
      </c>
      <c r="D2" t="n">
        <v>0</v>
      </c>
      <c r="E2" t="n">
        <v>0</v>
      </c>
      <c r="F2" t="n">
        <v>-784020</v>
      </c>
      <c r="G2" t="n">
        <v>0</v>
      </c>
      <c r="H2" t="n">
        <v>0</v>
      </c>
    </row>
    <row r="3">
      <c r="A3" t="inlineStr">
        <is>
          <t>Y2</t>
        </is>
      </c>
      <c r="B3" t="n">
        <v>555813.5000000002</v>
      </c>
      <c r="C3" t="n">
        <v>170605.008</v>
      </c>
      <c r="D3" t="n">
        <v>55537.40635199999</v>
      </c>
      <c r="E3" t="n">
        <v>781955.9143520002</v>
      </c>
      <c r="F3" t="n">
        <v>-1169499.625648</v>
      </c>
      <c r="G3" t="n">
        <v>222.3254000000001</v>
      </c>
      <c r="H3" t="n">
        <v>9560</v>
      </c>
    </row>
    <row r="4">
      <c r="A4" t="inlineStr">
        <is>
          <t>Y3</t>
        </is>
      </c>
      <c r="B4" t="n">
        <v>2807003.375000001</v>
      </c>
      <c r="C4" t="n">
        <v>803829.0329999999</v>
      </c>
      <c r="D4" t="n">
        <v>298693.83187854</v>
      </c>
      <c r="E4" t="n">
        <v>3909526.239878541</v>
      </c>
      <c r="F4" t="n">
        <v>291485.4048785404</v>
      </c>
      <c r="G4" t="n">
        <v>900.4759500000002</v>
      </c>
      <c r="H4" t="n">
        <v>31792</v>
      </c>
    </row>
    <row r="5">
      <c r="A5" t="inlineStr">
        <is>
          <t>Y4</t>
        </is>
      </c>
      <c r="B5" t="n">
        <v>6570820.300000002</v>
      </c>
      <c r="C5" t="n">
        <v>1727434.065</v>
      </c>
      <c r="D5" t="n">
        <v>703359.840312594</v>
      </c>
      <c r="E5" t="n">
        <v>9001614.205312597</v>
      </c>
      <c r="F5" t="n">
        <v>3352840.403312596</v>
      </c>
      <c r="G5" t="n">
        <v>1727.852170000001</v>
      </c>
      <c r="H5" t="n">
        <v>51440</v>
      </c>
    </row>
    <row r="7">
      <c r="A7" s="72" t="inlineStr">
        <is>
          <t>Scenario Comparison — EBITDA</t>
        </is>
      </c>
    </row>
    <row r="8">
      <c r="A8" t="inlineStr">
        <is>
          <t>Year</t>
        </is>
      </c>
      <c r="B8" t="inlineStr">
        <is>
          <t>Y1</t>
        </is>
      </c>
      <c r="C8" t="inlineStr">
        <is>
          <t>Y2</t>
        </is>
      </c>
      <c r="D8" t="inlineStr">
        <is>
          <t>Y3</t>
        </is>
      </c>
      <c r="E8" t="inlineStr">
        <is>
          <t>Y4</t>
        </is>
      </c>
    </row>
    <row r="9">
      <c r="A9" t="inlineStr">
        <is>
          <t>LOW EBITDA</t>
        </is>
      </c>
      <c r="B9" t="n">
        <v>-784020</v>
      </c>
      <c r="C9" t="n">
        <v>-1342315.99031</v>
      </c>
      <c r="D9" t="n">
        <v>-1221630.3354324</v>
      </c>
      <c r="E9" t="n">
        <v>-174600.1345828953</v>
      </c>
    </row>
    <row r="10">
      <c r="A10" t="inlineStr">
        <is>
          <t>BASE EBITDA</t>
        </is>
      </c>
      <c r="B10" t="n">
        <v>-784020</v>
      </c>
      <c r="C10" t="n">
        <v>-1138280.579296</v>
      </c>
      <c r="D10" t="n">
        <v>351375.7877990007</v>
      </c>
      <c r="E10" t="n">
        <v>3263094.863730209</v>
      </c>
    </row>
    <row r="11">
      <c r="A11" t="inlineStr">
        <is>
          <t>HIGH EBITDA</t>
        </is>
      </c>
      <c r="B11" t="n">
        <v>-784020</v>
      </c>
      <c r="C11" t="n">
        <v>-721702.0709299999</v>
      </c>
      <c r="D11" t="n">
        <v>2065073.121990401</v>
      </c>
      <c r="E11" t="n">
        <v>8670786.285356421</v>
      </c>
    </row>
    <row r="13">
      <c r="A13" s="72" t="inlineStr">
        <is>
          <t>Scenario Comparison — Revenue</t>
        </is>
      </c>
    </row>
    <row r="14">
      <c r="A14" t="inlineStr">
        <is>
          <t>Year</t>
        </is>
      </c>
      <c r="B14" t="inlineStr">
        <is>
          <t>Y1</t>
        </is>
      </c>
      <c r="C14" t="inlineStr">
        <is>
          <t>Y2</t>
        </is>
      </c>
      <c r="D14" t="inlineStr">
        <is>
          <t>Y3</t>
        </is>
      </c>
      <c r="E14" t="inlineStr">
        <is>
          <t>Y4</t>
        </is>
      </c>
    </row>
    <row r="15">
      <c r="A15" t="inlineStr">
        <is>
          <t>LOW Revenue</t>
        </is>
      </c>
      <c r="B15" t="n">
        <v>0</v>
      </c>
      <c r="C15" t="n">
        <v>503909.0096900001</v>
      </c>
      <c r="D15" t="n">
        <v>1501532.0645676</v>
      </c>
      <c r="E15" t="n">
        <v>3392283.615417105</v>
      </c>
    </row>
    <row r="16">
      <c r="A16" t="inlineStr">
        <is>
          <t>BASE Revenue</t>
        </is>
      </c>
      <c r="B16" t="n">
        <v>0</v>
      </c>
      <c r="C16" t="n">
        <v>786964.820704</v>
      </c>
      <c r="D16" t="n">
        <v>3839741.637799001</v>
      </c>
      <c r="E16" t="n">
        <v>8613853.56373021</v>
      </c>
    </row>
    <row r="17">
      <c r="A17" t="inlineStr">
        <is>
          <t>HIGH Revenue</t>
        </is>
      </c>
      <c r="B17" t="n">
        <v>0</v>
      </c>
      <c r="C17" t="n">
        <v>1366967.02907</v>
      </c>
      <c r="D17" t="n">
        <v>6269462.521990402</v>
      </c>
      <c r="E17" t="n">
        <v>16439964.94535642</v>
      </c>
    </row>
    <row r="19">
      <c r="A19" s="72" t="inlineStr">
        <is>
          <t>Scenario Comparison — AUM (€m)</t>
        </is>
      </c>
    </row>
    <row r="20">
      <c r="A20" t="inlineStr">
        <is>
          <t>Year</t>
        </is>
      </c>
      <c r="B20" t="inlineStr">
        <is>
          <t>Y1</t>
        </is>
      </c>
      <c r="C20" t="inlineStr">
        <is>
          <t>Y2</t>
        </is>
      </c>
      <c r="D20" t="inlineStr">
        <is>
          <t>Y3</t>
        </is>
      </c>
      <c r="E20" t="inlineStr">
        <is>
          <t>Y4</t>
        </is>
      </c>
    </row>
    <row r="21">
      <c r="A21" t="inlineStr">
        <is>
          <t>LOW AUM</t>
        </is>
      </c>
      <c r="B21" t="n">
        <v>0</v>
      </c>
      <c r="C21" t="n">
        <v>129.635</v>
      </c>
      <c r="D21" t="n">
        <v>282.6340000000001</v>
      </c>
      <c r="E21" t="n">
        <v>659.2102000000002</v>
      </c>
    </row>
    <row r="22">
      <c r="A22" t="inlineStr">
        <is>
          <t>BASE AUM</t>
        </is>
      </c>
      <c r="B22" t="n">
        <v>0</v>
      </c>
      <c r="C22" t="n">
        <v>202.114</v>
      </c>
      <c r="D22" t="n">
        <v>818.6145000000001</v>
      </c>
      <c r="E22" t="n">
        <v>1570.7747</v>
      </c>
    </row>
    <row r="23">
      <c r="A23" t="inlineStr">
        <is>
          <t>HIGH AUM</t>
        </is>
      </c>
      <c r="B23" t="n">
        <v>0</v>
      </c>
      <c r="C23" t="n">
        <v>331.001</v>
      </c>
      <c r="D23" t="n">
        <v>1273.503</v>
      </c>
      <c r="E23" t="n">
        <v>3119.696800000001</v>
      </c>
    </row>
    <row r="25">
      <c r="A25" s="72" t="inlineStr">
        <is>
          <t>THREE-SCENARIO COMPARISON DATA</t>
        </is>
      </c>
    </row>
    <row r="26">
      <c r="A26" t="inlineStr">
        <is>
          <t>Scenario</t>
        </is>
      </c>
      <c r="B26" t="inlineStr">
        <is>
          <t>Y1</t>
        </is>
      </c>
      <c r="C26" t="inlineStr">
        <is>
          <t>Y2</t>
        </is>
      </c>
      <c r="D26" t="inlineStr">
        <is>
          <t>Y3</t>
        </is>
      </c>
      <c r="E26" t="inlineStr">
        <is>
          <t>Y4</t>
        </is>
      </c>
    </row>
    <row r="27">
      <c r="A27" t="inlineStr">
        <is>
          <t>LOW Revenue</t>
        </is>
      </c>
      <c r="B27" t="n">
        <v>0</v>
      </c>
      <c r="C27" t="n">
        <v>503909</v>
      </c>
      <c r="D27" t="n">
        <v>1501532</v>
      </c>
      <c r="E27" t="n">
        <v>3392284</v>
      </c>
    </row>
    <row r="28">
      <c r="A28" t="inlineStr">
        <is>
          <t>BASE Revenue</t>
        </is>
      </c>
      <c r="B28" t="n">
        <v>0</v>
      </c>
      <c r="C28" t="n">
        <v>781956</v>
      </c>
      <c r="D28" t="n">
        <v>3909526</v>
      </c>
      <c r="E28" t="n">
        <v>9001614</v>
      </c>
    </row>
    <row r="29">
      <c r="A29" t="inlineStr">
        <is>
          <t>HIGH Revenue</t>
        </is>
      </c>
      <c r="B29" t="n">
        <v>0</v>
      </c>
      <c r="C29" t="n">
        <v>1366967</v>
      </c>
      <c r="D29" t="n">
        <v>6269463</v>
      </c>
      <c r="E29" t="n">
        <v>16439965</v>
      </c>
    </row>
    <row r="31">
      <c r="A31" t="inlineStr">
        <is>
          <t>LOW EBITDA</t>
        </is>
      </c>
      <c r="B31" t="n">
        <v>-784020</v>
      </c>
      <c r="C31" t="n">
        <v>-1342316</v>
      </c>
      <c r="D31" t="n">
        <v>-1221630</v>
      </c>
      <c r="E31" t="n">
        <v>-174600</v>
      </c>
    </row>
    <row r="32">
      <c r="A32" t="inlineStr">
        <is>
          <t>BASE EBITDA</t>
        </is>
      </c>
      <c r="B32" t="n">
        <v>-784020</v>
      </c>
      <c r="C32" t="n">
        <v>-1169500</v>
      </c>
      <c r="D32" t="n">
        <v>291485</v>
      </c>
      <c r="E32" t="n">
        <v>3352840</v>
      </c>
    </row>
    <row r="33">
      <c r="A33" t="inlineStr">
        <is>
          <t>HIGH EBITDA</t>
        </is>
      </c>
      <c r="B33" t="n">
        <v>-784020</v>
      </c>
      <c r="C33" t="n">
        <v>-721702</v>
      </c>
      <c r="D33" t="n">
        <v>2065073</v>
      </c>
      <c r="E33" t="n">
        <v>8670786</v>
      </c>
    </row>
    <row r="35">
      <c r="A35" t="inlineStr">
        <is>
          <t>LOW AUM €m</t>
        </is>
      </c>
      <c r="B35" t="n">
        <v>0</v>
      </c>
      <c r="C35" t="n">
        <v>129.6</v>
      </c>
      <c r="D35" t="n">
        <v>282.6</v>
      </c>
      <c r="E35" t="n">
        <v>659.2</v>
      </c>
    </row>
    <row r="36">
      <c r="A36" t="inlineStr">
        <is>
          <t>BASE AUM €m</t>
        </is>
      </c>
      <c r="B36" t="n">
        <v>0</v>
      </c>
      <c r="C36" t="n">
        <v>222.3</v>
      </c>
      <c r="D36" t="n">
        <v>900.5</v>
      </c>
      <c r="E36" t="n">
        <v>1727.9</v>
      </c>
    </row>
    <row r="37">
      <c r="A37" t="inlineStr">
        <is>
          <t>HIGH AUM €m</t>
        </is>
      </c>
      <c r="B37" t="n">
        <v>0</v>
      </c>
      <c r="C37" t="n">
        <v>331</v>
      </c>
      <c r="D37" t="n">
        <v>1273.5</v>
      </c>
      <c r="E37" t="n">
        <v>3119.7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2026-04-26T20:53:10Z</dcterms:created>
  <dcterms:modified xsi:type="dcterms:W3CDTF">2026-04-27T06:07:47Z</dcterms:modified>
  <cp:lastModifiedBy>HENRY Raphaël</cp:lastModifiedBy>
</cp:coreProperties>
</file>