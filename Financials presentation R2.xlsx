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Revenue Detail" sheetId="3" state="visible" r:id="rId3"/>
    <sheet name="P&amp;L" sheetId="4" state="visible" r:id="rId4"/>
    <sheet name="Unit Economics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#,##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6B6B6B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9"/>
    </font>
    <font>
      <name val="Calibri"/>
      <sz val="10"/>
    </font>
    <font>
      <name val="Calibri"/>
      <i val="1"/>
      <color rgb="006B6B6B"/>
      <sz val="9"/>
    </font>
    <font>
      <name val="Calibri"/>
      <b val="1"/>
      <color rgb="00FFFFFF"/>
      <sz val="13"/>
    </font>
    <font>
      <name val="Calibri"/>
      <b val="1"/>
      <color rgb="001A6B3C"/>
      <sz val="10"/>
    </font>
    <font>
      <name val="Calibri"/>
      <b val="1"/>
      <sz val="10"/>
    </font>
    <font>
      <name val="Calibri"/>
      <b val="1"/>
      <color rgb="001A6B3C"/>
      <sz val="11"/>
    </font>
    <font>
      <name val="Calibri"/>
      <i val="1"/>
      <color rgb="006B6B6B"/>
      <sz val="8"/>
    </font>
  </fonts>
  <fills count="4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E8F0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165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3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2" borderId="0" pivotButton="0" quotePrefix="0" xfId="0"/>
    <xf numFmtId="0" fontId="13" fillId="3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Stream (Base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'Charts'!$C$2:$C$5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EBITDA Trajectory (Base Scenario)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'Charts'!$A$2:$A$5</f>
            </numRef>
          </cat>
          <val>
            <numRef>
              <f>'Charts'!$F$2:$F$5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AUM Growth (€m)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'Charts'!G1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€m</a:t>
                </a:r>
              </a:p>
            </rich>
          </tx>
        </title>
        <numFmt formatCode="#,##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Members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'Charts'!H1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Members (#)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31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A6B3C"/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6" customWidth="1" min="6" max="6"/>
  </cols>
  <sheetData>
    <row r="1" ht="28" customHeight="1">
      <c r="A1" s="1" t="inlineStr">
        <is>
          <t>Accruo Ireland — Financial Summary (Base Scenario)</t>
        </is>
      </c>
    </row>
    <row r="2">
      <c r="A2" s="2" t="inlineStr">
        <is>
          <t>Base scenario: Y3 EBITDA breakeven  ·  All figures EUR</t>
        </is>
      </c>
    </row>
    <row r="4">
      <c r="A4" s="3" t="inlineStr">
        <is>
          <t>Metric</t>
        </is>
      </c>
      <c r="B4" s="4" t="inlineStr">
        <is>
          <t>Y1</t>
        </is>
      </c>
      <c r="C4" s="4" t="inlineStr">
        <is>
          <t>Y2</t>
        </is>
      </c>
      <c r="D4" s="4" t="inlineStr">
        <is>
          <t>Y3</t>
        </is>
      </c>
      <c r="E4" s="4" t="inlineStr">
        <is>
          <t>Y4</t>
        </is>
      </c>
    </row>
    <row r="5" ht="14" customHeight="1">
      <c r="A5" s="5" t="inlineStr">
        <is>
          <t>Revenue (€)</t>
        </is>
      </c>
    </row>
    <row r="6">
      <c r="A6" s="6" t="inlineStr">
        <is>
          <t xml:space="preserve">  AUM trail fees</t>
        </is>
      </c>
      <c r="B6" s="7" t="n"/>
      <c r="C6" s="7" t="n">
        <v>555813.5000000002</v>
      </c>
      <c r="D6" s="7" t="n">
        <v>2807003.375000001</v>
      </c>
      <c r="E6" s="7" t="n">
        <v>6570820.300000002</v>
      </c>
    </row>
    <row r="7">
      <c r="A7" s="6" t="inlineStr">
        <is>
          <t xml:space="preserve">  SaaS subscription</t>
        </is>
      </c>
      <c r="B7" s="7" t="n"/>
      <c r="C7" s="7" t="n">
        <v>170605.008</v>
      </c>
      <c r="D7" s="7" t="n">
        <v>803829.0329999999</v>
      </c>
      <c r="E7" s="7" t="n">
        <v>1727434.065</v>
      </c>
    </row>
    <row r="8">
      <c r="A8" s="6" t="inlineStr">
        <is>
          <t xml:space="preserve">  Health &amp; life insurance</t>
        </is>
      </c>
      <c r="B8" s="7" t="n"/>
      <c r="C8" s="7" t="n">
        <v>55537.40635199999</v>
      </c>
      <c r="D8" s="7" t="n">
        <v>298693.83187854</v>
      </c>
      <c r="E8" s="7" t="n">
        <v>703359.840312594</v>
      </c>
    </row>
    <row r="9">
      <c r="A9" s="8" t="inlineStr">
        <is>
          <t>Total revenue</t>
        </is>
      </c>
      <c r="B9" s="9" t="n"/>
      <c r="C9" s="9" t="n">
        <v>781955.9143520002</v>
      </c>
      <c r="D9" s="9" t="n">
        <v>3909526.239878541</v>
      </c>
      <c r="E9" s="9" t="n">
        <v>9001614.205312597</v>
      </c>
    </row>
    <row r="10">
      <c r="A10" s="6" t="inlineStr">
        <is>
          <t>(−) COGS (variable)</t>
        </is>
      </c>
      <c r="B10" s="7" t="n">
        <v>-155000</v>
      </c>
      <c r="C10" s="7" t="n">
        <v>-288311.54</v>
      </c>
      <c r="D10" s="7" t="n">
        <v>-1426424.835</v>
      </c>
      <c r="E10" s="7" t="n">
        <v>-3278166.122</v>
      </c>
    </row>
    <row r="11">
      <c r="A11" s="6" t="inlineStr">
        <is>
          <t>(−) Fixed opex</t>
        </is>
      </c>
      <c r="B11" s="7" t="n">
        <v>-629020</v>
      </c>
      <c r="C11" s="7" t="n">
        <v>-1663144</v>
      </c>
      <c r="D11" s="7" t="n">
        <v>-2191616</v>
      </c>
      <c r="E11" s="7" t="n">
        <v>-2370607.68</v>
      </c>
    </row>
    <row r="12">
      <c r="A12" s="8" t="inlineStr">
        <is>
          <t>EBITDA</t>
        </is>
      </c>
      <c r="B12" s="9" t="n">
        <v>-784020</v>
      </c>
      <c r="C12" s="9" t="n">
        <v>-1169499.625648</v>
      </c>
      <c r="D12" s="9" t="n">
        <v>291485.4048785404</v>
      </c>
      <c r="E12" s="9" t="n">
        <v>3352840.403312596</v>
      </c>
    </row>
    <row r="13">
      <c r="A13" s="6" t="inlineStr">
        <is>
          <t xml:space="preserve">  Gross margin %</t>
        </is>
      </c>
      <c r="B13" s="10" t="n"/>
      <c r="C13" s="10" t="n">
        <v>0.631294380273444</v>
      </c>
      <c r="D13" s="10" t="n">
        <v>0.6351412556207026</v>
      </c>
      <c r="E13" s="10" t="n">
        <v>0.6358246368673206</v>
      </c>
    </row>
    <row r="14">
      <c r="A14" s="6" t="inlineStr">
        <is>
          <t xml:space="preserve">  EBITDA margin %</t>
        </is>
      </c>
      <c r="B14" s="10" t="n"/>
      <c r="C14" s="10" t="n">
        <v>-1.495608133633919</v>
      </c>
      <c r="D14" s="10" t="n">
        <v>0.07455773078213082</v>
      </c>
      <c r="E14" s="10" t="n">
        <v>0.3724710176241288</v>
      </c>
    </row>
    <row r="16" ht="14" customHeight="1">
      <c r="A16" s="5" t="inlineStr">
        <is>
          <t>Operational Metrics</t>
        </is>
      </c>
    </row>
    <row r="17">
      <c r="A17" s="6" t="inlineStr">
        <is>
          <t>Total AUM (€m)</t>
        </is>
      </c>
      <c r="B17" s="11" t="n"/>
      <c r="C17" s="11" t="n">
        <v>222.3254000000001</v>
      </c>
      <c r="D17" s="11" t="n">
        <v>900.4759500000002</v>
      </c>
      <c r="E17" s="11" t="n">
        <v>1727.852170000001</v>
      </c>
    </row>
    <row r="18">
      <c r="A18" s="6" t="inlineStr">
        <is>
          <t>Total members (#)</t>
        </is>
      </c>
      <c r="B18" s="12" t="n"/>
      <c r="C18" s="12" t="n">
        <v>9560</v>
      </c>
      <c r="D18" s="12" t="n">
        <v>31792</v>
      </c>
      <c r="E18" s="12" t="n">
        <v>51440</v>
      </c>
    </row>
    <row r="20" ht="14" customHeight="1">
      <c r="A20" s="5" t="inlineStr">
        <is>
          <t>Revenue Mix (Y3 and Y4)</t>
        </is>
      </c>
    </row>
    <row r="21">
      <c r="A21" s="13" t="inlineStr">
        <is>
          <t>Stream</t>
        </is>
      </c>
      <c r="B21" s="14" t="inlineStr"/>
      <c r="C21" s="14" t="inlineStr"/>
      <c r="D21" s="14" t="inlineStr">
        <is>
          <t>Y3</t>
        </is>
      </c>
      <c r="E21" s="14" t="inlineStr">
        <is>
          <t>Y4</t>
        </is>
      </c>
    </row>
    <row r="22">
      <c r="A22" s="15" t="inlineStr">
        <is>
          <t xml:space="preserve">  AUM trail fees</t>
        </is>
      </c>
      <c r="D22" s="16" t="n">
        <v>0.7179906727233547</v>
      </c>
      <c r="E22" s="16" t="n">
        <v>0.7299602215924803</v>
      </c>
    </row>
    <row r="23">
      <c r="A23" s="15" t="inlineStr">
        <is>
          <t xml:space="preserve">  SaaS subscription</t>
        </is>
      </c>
      <c r="D23" s="16" t="n">
        <v>0.2056077856187948</v>
      </c>
      <c r="E23" s="16" t="n">
        <v>0.191902699404791</v>
      </c>
    </row>
    <row r="24">
      <c r="A24" s="15" t="inlineStr">
        <is>
          <t xml:space="preserve">  Health &amp; life insurance</t>
        </is>
      </c>
      <c r="D24" s="16" t="n">
        <v>0.07640154165785053</v>
      </c>
      <c r="E24" s="16" t="n">
        <v>0.07813707900272855</v>
      </c>
    </row>
    <row r="26" ht="14" customHeight="1">
      <c r="A26" s="5" t="inlineStr">
        <is>
          <t>Funding</t>
        </is>
      </c>
    </row>
    <row r="27">
      <c r="A27" s="15" t="inlineStr">
        <is>
          <t>Cumulative cash need (€)</t>
        </is>
      </c>
      <c r="B27" s="17" t="n">
        <v>909020</v>
      </c>
      <c r="C27" s="17" t="n">
        <v>2078519.625648</v>
      </c>
      <c r="D27" s="17" t="n">
        <v>2078519.625648</v>
      </c>
      <c r="E27" s="17" t="n">
        <v>2078519.625648</v>
      </c>
    </row>
    <row r="29">
      <c r="A29" s="18" t="inlineStr">
        <is>
          <t>■  Y3 EBITDA breakeven achieved at 1.5–2.5% workplace penetration and 3.5–5% PRSA penetration.</t>
        </is>
      </c>
    </row>
  </sheetData>
  <mergeCells count="7">
    <mergeCell ref="A29:E29"/>
    <mergeCell ref="A20:E20"/>
    <mergeCell ref="A26:E26"/>
    <mergeCell ref="A2:E2"/>
    <mergeCell ref="A16:E16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9" t="inlineStr">
        <is>
          <t>Assumptions — Base Scenario</t>
        </is>
      </c>
    </row>
    <row r="3" ht="16" customHeight="1">
      <c r="A3" s="20" t="inlineStr">
        <is>
          <t>Pricing</t>
        </is>
      </c>
    </row>
    <row r="4">
      <c r="A4" s="15" t="inlineStr">
        <is>
          <t xml:space="preserve">  AUM fee (bps, charged to customer)</t>
        </is>
      </c>
      <c r="B4" s="21" t="inlineStr">
        <is>
          <t>50 bps</t>
        </is>
      </c>
      <c r="C4" s="22">
        <f> 0.50% of AUM per year</f>
        <v/>
      </c>
    </row>
    <row r="5">
      <c r="A5" s="15" t="inlineStr">
        <is>
          <t xml:space="preserve">  SaaS — standard (€/employee/month)</t>
        </is>
      </c>
      <c r="B5" s="21" t="inlineStr">
        <is>
          <t>€7.00</t>
        </is>
      </c>
      <c r="C5" s="22" t="inlineStr">
        <is>
          <t>Medium MT, Large DC</t>
        </is>
      </c>
    </row>
    <row r="6">
      <c r="A6" s="15" t="inlineStr">
        <is>
          <t xml:space="preserve">  SaaS — MFF Small Business (€/employee/month)</t>
        </is>
      </c>
      <c r="B6" s="21" t="inlineStr">
        <is>
          <t>€3.50</t>
        </is>
      </c>
      <c r="C6" s="22" t="inlineStr">
        <is>
          <t>Half-price vs My Future Fund competition</t>
        </is>
      </c>
    </row>
    <row r="7">
      <c r="A7" s="15" t="inlineStr">
        <is>
          <t xml:space="preserve">  Health insurance commission</t>
        </is>
      </c>
      <c r="B7" s="21" t="inlineStr">
        <is>
          <t>6%</t>
        </is>
      </c>
      <c r="C7" s="22" t="inlineStr">
        <is>
          <t>6% of €1,500 avg premium; source: Kota Jan 2026 schedule</t>
        </is>
      </c>
    </row>
    <row r="8">
      <c r="A8" s="15" t="inlineStr">
        <is>
          <t xml:space="preserve">  Life insurance commission</t>
        </is>
      </c>
      <c r="B8" s="21" t="inlineStr">
        <is>
          <t>6%</t>
        </is>
      </c>
      <c r="C8" s="22" t="inlineStr">
        <is>
          <t>6% of €75 avg premium; source: Kota Jan 2026 schedule</t>
        </is>
      </c>
    </row>
    <row r="10" ht="16" customHeight="1">
      <c r="A10" s="20" t="inlineStr">
        <is>
          <t>Variable Costs (COGS)</t>
        </is>
      </c>
    </row>
    <row r="11">
      <c r="A11" s="15" t="inlineStr">
        <is>
          <t xml:space="preserve">  Fund MER (bps, all AUM)</t>
        </is>
      </c>
      <c r="B11" s="21" t="inlineStr">
        <is>
          <t>12 bps</t>
        </is>
      </c>
      <c r="C11" s="22" t="inlineStr">
        <is>
          <t>Index fund total expense ratio</t>
        </is>
      </c>
    </row>
    <row r="12">
      <c r="A12" s="15" t="inlineStr">
        <is>
          <t xml:space="preserve">  PRSA levy (bps, PRSA AUM only)</t>
        </is>
      </c>
      <c r="B12" s="21" t="inlineStr">
        <is>
          <t>5 bps</t>
        </is>
      </c>
      <c r="C12" s="22" t="inlineStr">
        <is>
          <t>Pensions Authority statutory levy on PRSAs</t>
        </is>
      </c>
    </row>
    <row r="13">
      <c r="A13" s="15" t="inlineStr">
        <is>
          <t xml:space="preserve">  Custody fee (bps, all AUM)</t>
        </is>
      </c>
      <c r="B13" s="21" t="inlineStr">
        <is>
          <t>10 bps</t>
        </is>
      </c>
      <c r="C13" s="22" t="inlineStr">
        <is>
          <t>Annual custody; minimum €80K floor</t>
        </is>
      </c>
    </row>
    <row r="14">
      <c r="A14" s="15" t="inlineStr">
        <is>
          <t xml:space="preserve">  Custody setup (Y1 one-time)</t>
        </is>
      </c>
      <c r="B14" s="21" t="inlineStr">
        <is>
          <t>€75,000</t>
        </is>
      </c>
      <c r="C14" s="22" t="inlineStr">
        <is>
          <t>One-time; Y1 only</t>
        </is>
      </c>
    </row>
    <row r="15">
      <c r="A15" s="15" t="inlineStr">
        <is>
          <t xml:space="preserve">  Accruo net spread</t>
        </is>
      </c>
      <c r="B15" s="21" t="inlineStr">
        <is>
          <t>23 bps</t>
        </is>
      </c>
      <c r="C15" s="22">
        <f> 50 − 12 − 10 − 5 bps</f>
        <v/>
      </c>
    </row>
    <row r="17" ht="16" customHeight="1">
      <c r="A17" s="20" t="inlineStr">
        <is>
          <t>Market Data (Y1 base; 10% annual growth applied)</t>
        </is>
      </c>
    </row>
    <row r="18">
      <c r="A18" s="13" t="inlineStr">
        <is>
          <t>Segment</t>
        </is>
      </c>
      <c r="B18" s="14" t="inlineStr">
        <is>
          <t>Population</t>
        </is>
      </c>
      <c r="C18" s="14" t="inlineStr">
        <is>
          <t>Annual Flow (€m)</t>
        </is>
      </c>
      <c r="D18" s="14" t="inlineStr">
        <is>
          <t>Market AUM (€m)</t>
        </is>
      </c>
      <c r="E18" s="14" t="inlineStr">
        <is>
          <t>Transfer rate</t>
        </is>
      </c>
      <c r="F18" s="14" t="inlineStr">
        <is>
          <t>SaaS price</t>
        </is>
      </c>
    </row>
    <row r="19">
      <c r="A19" s="23" t="inlineStr">
        <is>
          <t>MFF Small Business (B2B)</t>
        </is>
      </c>
      <c r="B19" s="24" t="n">
        <v>768381</v>
      </c>
      <c r="C19" s="24" t="n">
        <v>650</v>
      </c>
      <c r="D19" s="24" t="n">
        <v>700</v>
      </c>
      <c r="E19" s="24" t="inlineStr">
        <is>
          <t>0%</t>
        </is>
      </c>
      <c r="F19" s="24" t="inlineStr">
        <is>
          <t>€3.50/mo</t>
        </is>
      </c>
    </row>
    <row r="20">
      <c r="A20" s="23" t="inlineStr">
        <is>
          <t>Medium Master Trusts (B2B)</t>
        </is>
      </c>
      <c r="B20" s="24" t="n">
        <v>659000</v>
      </c>
      <c r="C20" s="24" t="n">
        <v>5000</v>
      </c>
      <c r="D20" s="24" t="n">
        <v>35200</v>
      </c>
      <c r="E20" s="24" t="inlineStr">
        <is>
          <t>50%</t>
        </is>
      </c>
      <c r="F20" s="24" t="inlineStr">
        <is>
          <t>€7.00/mo</t>
        </is>
      </c>
    </row>
    <row r="21">
      <c r="A21" s="23" t="inlineStr">
        <is>
          <t>Large Standalone DC (B2B)</t>
        </is>
      </c>
      <c r="B21" s="24" t="n">
        <v>200000</v>
      </c>
      <c r="C21" s="24" t="n">
        <v>2000</v>
      </c>
      <c r="D21" s="24" t="n">
        <v>44800</v>
      </c>
      <c r="E21" s="24" t="inlineStr">
        <is>
          <t>50%</t>
        </is>
      </c>
      <c r="F21" s="24" t="inlineStr">
        <is>
          <t>€7.00/mo</t>
        </is>
      </c>
    </row>
    <row r="22">
      <c r="A22" s="23" t="inlineStr">
        <is>
          <t>Standard PRSA (B2C)</t>
        </is>
      </c>
      <c r="B22" s="24" t="n">
        <v>162000</v>
      </c>
      <c r="C22" s="24" t="n">
        <v>680</v>
      </c>
      <c r="D22" s="24" t="n">
        <v>7300</v>
      </c>
      <c r="E22" s="24" t="inlineStr">
        <is>
          <t>80%</t>
        </is>
      </c>
      <c r="F22" s="24" t="inlineStr">
        <is>
          <t>—</t>
        </is>
      </c>
    </row>
    <row r="23">
      <c r="A23" s="23" t="inlineStr">
        <is>
          <t>Non-Standard PRSA (B2C)</t>
        </is>
      </c>
      <c r="B23" s="24" t="n">
        <v>96000</v>
      </c>
      <c r="C23" s="24" t="n">
        <v>1920</v>
      </c>
      <c r="D23" s="24" t="n">
        <v>14200</v>
      </c>
      <c r="E23" s="24" t="inlineStr">
        <is>
          <t>80%</t>
        </is>
      </c>
      <c r="F23" s="24" t="inlineStr">
        <is>
          <t>—</t>
        </is>
      </c>
    </row>
    <row r="25" ht="16" customHeight="1">
      <c r="A25" s="20" t="inlineStr">
        <is>
          <t>Base Scenario — Market Share Penetration (cumulative, end of year)</t>
        </is>
      </c>
    </row>
    <row r="26">
      <c r="A26" s="13" t="inlineStr">
        <is>
          <t>Segment</t>
        </is>
      </c>
      <c r="B26" s="14" t="inlineStr">
        <is>
          <t>Y1</t>
        </is>
      </c>
      <c r="C26" s="14" t="inlineStr">
        <is>
          <t>Y2</t>
        </is>
      </c>
      <c r="D26" s="14" t="inlineStr">
        <is>
          <t>Y3</t>
        </is>
      </c>
      <c r="E26" s="14" t="inlineStr">
        <is>
          <t>Y4</t>
        </is>
      </c>
      <c r="F26" s="14" t="inlineStr">
        <is>
          <t>Notes</t>
        </is>
      </c>
    </row>
    <row r="27">
      <c r="A27" s="15" t="inlineStr">
        <is>
          <t>MFF Small Business (B2B)</t>
        </is>
      </c>
      <c r="B27" s="16" t="n">
        <v>0</v>
      </c>
      <c r="C27" s="16" t="n">
        <v>0.008</v>
      </c>
      <c r="D27" s="16" t="n">
        <v>0.025</v>
      </c>
      <c r="E27" s="16" t="n">
        <v>0.04</v>
      </c>
      <c r="F27" s="22" t="inlineStr">
        <is>
          <t>Auto-enrolment launch market; no AUM transfer</t>
        </is>
      </c>
    </row>
    <row r="28">
      <c r="A28" s="15" t="inlineStr">
        <is>
          <t>Medium Master Trusts (B2B)</t>
        </is>
      </c>
      <c r="B28" s="16" t="n">
        <v>0</v>
      </c>
      <c r="C28" s="16" t="n">
        <v>0.0015</v>
      </c>
      <c r="D28" s="16" t="n">
        <v>0.008</v>
      </c>
      <c r="E28" s="16" t="n">
        <v>0.015</v>
      </c>
      <c r="F28" s="22" t="inlineStr">
        <is>
          <t>Large AUM transfer (50%); highest unit economics</t>
        </is>
      </c>
    </row>
    <row r="29">
      <c r="A29" s="15" t="inlineStr">
        <is>
          <t>Large Standalone DC (B2B)</t>
        </is>
      </c>
      <c r="B29" s="16" t="n">
        <v>0</v>
      </c>
      <c r="C29" s="16" t="n">
        <v>0</v>
      </c>
      <c r="D29" s="16" t="n">
        <v>0.001</v>
      </c>
      <c r="E29" s="16" t="n">
        <v>0.004</v>
      </c>
      <c r="F29" s="22" t="inlineStr">
        <is>
          <t>Enterprise sales; enters Y3</t>
        </is>
      </c>
    </row>
    <row r="30">
      <c r="A30" s="15" t="inlineStr">
        <is>
          <t>Standard PRSA (B2C)</t>
        </is>
      </c>
      <c r="B30" s="16" t="n">
        <v>0</v>
      </c>
      <c r="C30" s="16" t="n">
        <v>0.012</v>
      </c>
      <c r="D30" s="16" t="n">
        <v>0.035</v>
      </c>
      <c r="E30" s="16" t="n">
        <v>0.05</v>
      </c>
      <c r="F30" s="22" t="inlineStr">
        <is>
          <t>80% AUM transfer; no SaaS or insurance</t>
        </is>
      </c>
    </row>
    <row r="31">
      <c r="A31" s="15" t="inlineStr">
        <is>
          <t>Non-Standard PRSA (B2C)</t>
        </is>
      </c>
      <c r="B31" s="16" t="n">
        <v>0</v>
      </c>
      <c r="C31" s="16" t="n">
        <v>0.005</v>
      </c>
      <c r="D31" s="16" t="n">
        <v>0.015</v>
      </c>
      <c r="E31" s="16" t="n">
        <v>0.02</v>
      </c>
      <c r="F31" s="22" t="inlineStr">
        <is>
          <t>80% AUM transfer; high AUM per saver</t>
        </is>
      </c>
    </row>
    <row r="33" ht="16" customHeight="1">
      <c r="A33" s="20" t="inlineStr">
        <is>
          <t>Fixed Opex (from Cost Detail)</t>
        </is>
      </c>
    </row>
    <row r="34">
      <c r="A34" s="25" t="inlineStr">
        <is>
          <t>Line</t>
        </is>
      </c>
      <c r="B34" s="25" t="inlineStr">
        <is>
          <t>Y1</t>
        </is>
      </c>
      <c r="C34" s="25" t="inlineStr">
        <is>
          <t>Y2</t>
        </is>
      </c>
      <c r="D34" s="25" t="inlineStr">
        <is>
          <t>Y3</t>
        </is>
      </c>
      <c r="E34" s="25" t="inlineStr">
        <is>
          <t>Y4</t>
        </is>
      </c>
    </row>
    <row r="35">
      <c r="A35" s="15" t="inlineStr">
        <is>
          <t>Fixed opex (incl. 12% contingency)</t>
        </is>
      </c>
      <c r="B35" s="17" t="n">
        <v>629020</v>
      </c>
      <c r="C35" s="17" t="n">
        <v>1663144</v>
      </c>
      <c r="D35" s="17" t="n">
        <v>2191616</v>
      </c>
      <c r="E35" s="17" t="n">
        <v>2370607.68</v>
      </c>
    </row>
    <row r="36">
      <c r="A36" s="15" t="inlineStr">
        <is>
          <t>Regulatory capital (Y1 only, trapped)</t>
        </is>
      </c>
      <c r="B36" s="17" t="n">
        <v>125000</v>
      </c>
      <c r="C36" s="17" t="n">
        <v>0</v>
      </c>
      <c r="D36" s="17" t="n">
        <v>0</v>
      </c>
      <c r="E36" s="17" t="n">
        <v>0</v>
      </c>
    </row>
  </sheetData>
  <mergeCells count="16">
    <mergeCell ref="C13:F13"/>
    <mergeCell ref="A33:F33"/>
    <mergeCell ref="A10:F10"/>
    <mergeCell ref="C8:F8"/>
    <mergeCell ref="C4:F4"/>
    <mergeCell ref="A1:F1"/>
    <mergeCell ref="C12:F12"/>
    <mergeCell ref="C6:F6"/>
    <mergeCell ref="C7:F7"/>
    <mergeCell ref="C15:F15"/>
    <mergeCell ref="A17:F17"/>
    <mergeCell ref="C11:F11"/>
    <mergeCell ref="A3:F3"/>
    <mergeCell ref="C5:F5"/>
    <mergeCell ref="C14:F1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9" t="inlineStr">
        <is>
          <t>Revenue Detail by Segment — Base Scenario</t>
        </is>
      </c>
    </row>
    <row r="3">
      <c r="A3" s="26" t="inlineStr">
        <is>
          <t>MFF Small Business (B2B)</t>
        </is>
      </c>
    </row>
    <row r="4">
      <c r="A4" s="14" t="inlineStr"/>
      <c r="B4" s="14" t="inlineStr">
        <is>
          <t>Y1</t>
        </is>
      </c>
      <c r="C4" s="14" t="inlineStr">
        <is>
          <t>Y2</t>
        </is>
      </c>
      <c r="D4" s="14" t="inlineStr">
        <is>
          <t>Y3</t>
        </is>
      </c>
      <c r="E4" s="14" t="inlineStr">
        <is>
          <t>Y4</t>
        </is>
      </c>
    </row>
    <row r="5">
      <c r="A5" s="15" t="inlineStr">
        <is>
          <t xml:space="preserve">  Members (end of year)</t>
        </is>
      </c>
      <c r="B5" s="27" t="n"/>
      <c r="C5" s="27" t="n">
        <v>6147.048</v>
      </c>
      <c r="D5" s="27" t="n">
        <v>19209.525</v>
      </c>
      <c r="E5" s="27" t="n">
        <v>30735.24</v>
      </c>
    </row>
    <row r="6">
      <c r="A6" s="15" t="inlineStr">
        <is>
          <t xml:space="preserve">  AUM end of year (€m)</t>
        </is>
      </c>
      <c r="B6" s="28" t="n"/>
      <c r="C6" s="28" t="n">
        <v>6.292000000000001</v>
      </c>
      <c r="D6" s="28" t="n">
        <v>27.92075000000001</v>
      </c>
      <c r="E6" s="28" t="n">
        <v>65.98735000000002</v>
      </c>
    </row>
    <row r="7">
      <c r="A7" s="15" t="inlineStr">
        <is>
          <t xml:space="preserve">  SaaS revenue (€)</t>
        </is>
      </c>
      <c r="B7" s="17" t="n"/>
      <c r="C7" s="17" t="n">
        <v>129088.008</v>
      </c>
      <c r="D7" s="17" t="n">
        <v>532488.0329999999</v>
      </c>
      <c r="E7" s="17" t="n">
        <v>1048840.065</v>
      </c>
    </row>
    <row r="8">
      <c r="A8" s="15" t="inlineStr">
        <is>
          <t xml:space="preserve">  AUM trail fee (€)</t>
        </is>
      </c>
      <c r="B8" s="17" t="n"/>
      <c r="C8" s="17" t="n">
        <v>15730</v>
      </c>
      <c r="D8" s="17" t="n">
        <v>85531.87500000004</v>
      </c>
      <c r="E8" s="17" t="n">
        <v>234770.2500000001</v>
      </c>
    </row>
    <row r="9">
      <c r="A9" s="15" t="inlineStr">
        <is>
          <t xml:space="preserve">  Health commission (€)</t>
        </is>
      </c>
      <c r="B9" s="17" t="n"/>
      <c r="C9" s="17" t="n">
        <v>28214.95032</v>
      </c>
      <c r="D9" s="17" t="n">
        <v>118714.4034714</v>
      </c>
      <c r="E9" s="17" t="n">
        <v>238508.02879254</v>
      </c>
    </row>
    <row r="10">
      <c r="A10" s="15" t="inlineStr">
        <is>
          <t xml:space="preserve">  Life commission (€)</t>
        </is>
      </c>
      <c r="B10" s="17" t="n"/>
      <c r="C10" s="17" t="n">
        <v>2821.495032</v>
      </c>
      <c r="D10" s="17" t="n">
        <v>11871.44034714</v>
      </c>
      <c r="E10" s="17" t="n">
        <v>23850.802879254</v>
      </c>
    </row>
    <row r="11">
      <c r="A11" s="21" t="inlineStr">
        <is>
          <t xml:space="preserve">  Total segment revenue (€)</t>
        </is>
      </c>
      <c r="B11" s="29" t="n"/>
      <c r="C11" s="29" t="n">
        <v>175854.453352</v>
      </c>
      <c r="D11" s="29" t="n">
        <v>748605.7518185399</v>
      </c>
      <c r="E11" s="29" t="n">
        <v>1545969.146671794</v>
      </c>
    </row>
    <row r="13">
      <c r="A13" s="26" t="inlineStr">
        <is>
          <t>Medium Master Trusts (B2B)</t>
        </is>
      </c>
    </row>
    <row r="14">
      <c r="A14" s="14" t="inlineStr"/>
      <c r="B14" s="14" t="inlineStr">
        <is>
          <t>Y1</t>
        </is>
      </c>
      <c r="C14" s="14" t="inlineStr">
        <is>
          <t>Y2</t>
        </is>
      </c>
      <c r="D14" s="14" t="inlineStr">
        <is>
          <t>Y3</t>
        </is>
      </c>
      <c r="E14" s="14" t="inlineStr">
        <is>
          <t>Y4</t>
        </is>
      </c>
    </row>
    <row r="15">
      <c r="A15" s="15" t="inlineStr">
        <is>
          <t xml:space="preserve">  Members (end of year)</t>
        </is>
      </c>
      <c r="B15" s="27" t="n"/>
      <c r="C15" s="27" t="n">
        <v>988.5</v>
      </c>
      <c r="D15" s="27" t="n">
        <v>5272</v>
      </c>
      <c r="E15" s="27" t="n">
        <v>9885</v>
      </c>
    </row>
    <row r="16">
      <c r="A16" s="15" t="inlineStr">
        <is>
          <t xml:space="preserve">  AUM end of year (€m)</t>
        </is>
      </c>
      <c r="B16" s="28" t="n"/>
      <c r="C16" s="28" t="n">
        <v>41.01900000000001</v>
      </c>
      <c r="D16" s="28" t="n">
        <v>249.7198</v>
      </c>
      <c r="E16" s="28" t="n">
        <v>558.6449000000001</v>
      </c>
    </row>
    <row r="17">
      <c r="A17" s="15" t="inlineStr">
        <is>
          <t xml:space="preserve">  SaaS revenue (€)</t>
        </is>
      </c>
      <c r="B17" s="17" t="n"/>
      <c r="C17" s="17" t="n">
        <v>41517</v>
      </c>
      <c r="D17" s="17" t="n">
        <v>262941</v>
      </c>
      <c r="E17" s="17" t="n">
        <v>636594</v>
      </c>
    </row>
    <row r="18">
      <c r="A18" s="15" t="inlineStr">
        <is>
          <t xml:space="preserve">  AUM trail fee (€)</t>
        </is>
      </c>
      <c r="B18" s="17" t="n"/>
      <c r="C18" s="17" t="n">
        <v>102547.5</v>
      </c>
      <c r="D18" s="17" t="n">
        <v>726847.0000000001</v>
      </c>
      <c r="E18" s="17" t="n">
        <v>2020911.750000001</v>
      </c>
    </row>
    <row r="19">
      <c r="A19" s="15" t="inlineStr">
        <is>
          <t xml:space="preserve">  Health commission (€)</t>
        </is>
      </c>
      <c r="B19" s="17" t="n"/>
      <c r="C19" s="17" t="n">
        <v>22686.075</v>
      </c>
      <c r="D19" s="17" t="n">
        <v>146552.0445</v>
      </c>
      <c r="E19" s="17" t="n">
        <v>361906.41726</v>
      </c>
    </row>
    <row r="20">
      <c r="A20" s="15" t="inlineStr">
        <is>
          <t xml:space="preserve">  Life commission (€)</t>
        </is>
      </c>
      <c r="B20" s="17" t="n"/>
      <c r="C20" s="17" t="n">
        <v>1814.886</v>
      </c>
      <c r="D20" s="17" t="n">
        <v>11724.16356</v>
      </c>
      <c r="E20" s="17" t="n">
        <v>28952.5133808</v>
      </c>
    </row>
    <row r="21">
      <c r="A21" s="21" t="inlineStr">
        <is>
          <t xml:space="preserve">  Total segment revenue (€)</t>
        </is>
      </c>
      <c r="B21" s="29" t="n"/>
      <c r="C21" s="29" t="n">
        <v>168565.461</v>
      </c>
      <c r="D21" s="29" t="n">
        <v>1148064.20806</v>
      </c>
      <c r="E21" s="29" t="n">
        <v>3048364.680640801</v>
      </c>
    </row>
    <row r="23">
      <c r="A23" s="26" t="inlineStr">
        <is>
          <t>Large Standalone DC (B2B)</t>
        </is>
      </c>
    </row>
    <row r="24">
      <c r="A24" s="14" t="inlineStr"/>
      <c r="B24" s="14" t="inlineStr">
        <is>
          <t>Y1</t>
        </is>
      </c>
      <c r="C24" s="14" t="inlineStr">
        <is>
          <t>Y2</t>
        </is>
      </c>
      <c r="D24" s="14" t="inlineStr">
        <is>
          <t>Y3</t>
        </is>
      </c>
      <c r="E24" s="14" t="inlineStr">
        <is>
          <t>Y4</t>
        </is>
      </c>
    </row>
    <row r="25">
      <c r="A25" s="15" t="inlineStr">
        <is>
          <t xml:space="preserve">  Members (end of year)</t>
        </is>
      </c>
      <c r="B25" s="27" t="n"/>
      <c r="C25" s="27" t="n"/>
      <c r="D25" s="27" t="n">
        <v>200</v>
      </c>
      <c r="E25" s="27" t="n">
        <v>800</v>
      </c>
    </row>
    <row r="26">
      <c r="A26" s="15" t="inlineStr">
        <is>
          <t xml:space="preserve">  AUM end of year (€m)</t>
        </is>
      </c>
      <c r="B26" s="28" t="n"/>
      <c r="C26" s="28" t="n"/>
      <c r="D26" s="28" t="n">
        <v>32.47640000000001</v>
      </c>
      <c r="E26" s="28" t="n">
        <v>145.5581600000001</v>
      </c>
    </row>
    <row r="27">
      <c r="A27" s="15" t="inlineStr">
        <is>
          <t xml:space="preserve">  SaaS revenue (€)</t>
        </is>
      </c>
      <c r="B27" s="17" t="n"/>
      <c r="C27" s="17" t="n"/>
      <c r="D27" s="17" t="n">
        <v>8400</v>
      </c>
      <c r="E27" s="17" t="n">
        <v>42000</v>
      </c>
    </row>
    <row r="28">
      <c r="A28" s="15" t="inlineStr">
        <is>
          <t xml:space="preserve">  AUM trail fee (€)</t>
        </is>
      </c>
      <c r="B28" s="17" t="n"/>
      <c r="C28" s="17" t="n"/>
      <c r="D28" s="17" t="n">
        <v>81191.00000000003</v>
      </c>
      <c r="E28" s="17" t="n">
        <v>445086.4000000003</v>
      </c>
    </row>
    <row r="29">
      <c r="A29" s="15" t="inlineStr">
        <is>
          <t xml:space="preserve">  Health commission (€)</t>
        </is>
      </c>
      <c r="B29" s="17" t="n"/>
      <c r="C29" s="17" t="n"/>
      <c r="D29" s="17" t="n">
        <v>9363.6</v>
      </c>
      <c r="E29" s="17" t="n">
        <v>47754.36</v>
      </c>
    </row>
    <row r="30">
      <c r="A30" s="15" t="inlineStr">
        <is>
          <t xml:space="preserve">  Life commission (€)</t>
        </is>
      </c>
      <c r="B30" s="17" t="n"/>
      <c r="C30" s="17" t="n"/>
      <c r="D30" s="17" t="n">
        <v>468.18</v>
      </c>
      <c r="E30" s="17" t="n">
        <v>2387.718</v>
      </c>
    </row>
    <row r="31">
      <c r="A31" s="21" t="inlineStr">
        <is>
          <t xml:space="preserve">  Total segment revenue (€)</t>
        </is>
      </c>
      <c r="B31" s="29" t="n"/>
      <c r="C31" s="29" t="n"/>
      <c r="D31" s="29" t="n">
        <v>99422.78000000003</v>
      </c>
      <c r="E31" s="29" t="n">
        <v>537228.4780000002</v>
      </c>
    </row>
    <row r="33">
      <c r="A33" s="26" t="inlineStr">
        <is>
          <t>Standard PRSA (B2C)</t>
        </is>
      </c>
    </row>
    <row r="34">
      <c r="A34" s="14" t="inlineStr"/>
      <c r="B34" s="14" t="inlineStr">
        <is>
          <t>Y1</t>
        </is>
      </c>
      <c r="C34" s="14" t="inlineStr">
        <is>
          <t>Y2</t>
        </is>
      </c>
      <c r="D34" s="14" t="inlineStr">
        <is>
          <t>Y3</t>
        </is>
      </c>
      <c r="E34" s="14" t="inlineStr">
        <is>
          <t>Y4</t>
        </is>
      </c>
    </row>
    <row r="35">
      <c r="A35" s="15" t="inlineStr">
        <is>
          <t xml:space="preserve">  Members (end of year)</t>
        </is>
      </c>
      <c r="B35" s="27" t="n"/>
      <c r="C35" s="27" t="n">
        <v>1944</v>
      </c>
      <c r="D35" s="27" t="n">
        <v>5670.000000000001</v>
      </c>
      <c r="E35" s="27" t="n">
        <v>8100</v>
      </c>
    </row>
    <row r="36">
      <c r="A36" s="15" t="inlineStr">
        <is>
          <t xml:space="preserve">  AUM end of year (€m)</t>
        </is>
      </c>
      <c r="B36" s="28" t="n"/>
      <c r="C36" s="28" t="n">
        <v>94.67040000000003</v>
      </c>
      <c r="D36" s="28" t="n">
        <v>313.6078000000001</v>
      </c>
      <c r="E36" s="28" t="n">
        <v>518.8480000000002</v>
      </c>
    </row>
    <row r="37">
      <c r="A37" s="15" t="inlineStr">
        <is>
          <t xml:space="preserve">  SaaS revenue (€)</t>
        </is>
      </c>
      <c r="B37" s="17" t="n"/>
      <c r="C37" s="17" t="n"/>
      <c r="D37" s="17" t="n"/>
      <c r="E37" s="17" t="n"/>
    </row>
    <row r="38">
      <c r="A38" s="15" t="inlineStr">
        <is>
          <t xml:space="preserve">  AUM trail fee (€)</t>
        </is>
      </c>
      <c r="B38" s="17" t="n"/>
      <c r="C38" s="17" t="n">
        <v>236676.0000000001</v>
      </c>
      <c r="D38" s="17" t="n">
        <v>1020695.5</v>
      </c>
      <c r="E38" s="17" t="n">
        <v>2081139.500000001</v>
      </c>
    </row>
    <row r="39">
      <c r="A39" s="15" t="inlineStr">
        <is>
          <t xml:space="preserve">  Health commission (€)</t>
        </is>
      </c>
      <c r="B39" s="17" t="n"/>
      <c r="C39" s="17" t="n"/>
      <c r="D39" s="17" t="n"/>
      <c r="E39" s="17" t="n"/>
    </row>
    <row r="40">
      <c r="A40" s="15" t="inlineStr">
        <is>
          <t xml:space="preserve">  Life commission (€)</t>
        </is>
      </c>
      <c r="B40" s="17" t="n"/>
      <c r="C40" s="17" t="n"/>
      <c r="D40" s="17" t="n"/>
      <c r="E40" s="17" t="n"/>
    </row>
    <row r="41">
      <c r="A41" s="21" t="inlineStr">
        <is>
          <t xml:space="preserve">  Total segment revenue (€)</t>
        </is>
      </c>
      <c r="B41" s="29" t="n"/>
      <c r="C41" s="29" t="n">
        <v>236676.0000000001</v>
      </c>
      <c r="D41" s="29" t="n">
        <v>1020695.5</v>
      </c>
      <c r="E41" s="29" t="n">
        <v>2081139.500000001</v>
      </c>
    </row>
    <row r="43">
      <c r="A43" s="26" t="inlineStr">
        <is>
          <t>Non-Standard PRSA (B2C)</t>
        </is>
      </c>
    </row>
    <row r="44">
      <c r="A44" s="14" t="inlineStr"/>
      <c r="B44" s="14" t="inlineStr">
        <is>
          <t>Y1</t>
        </is>
      </c>
      <c r="C44" s="14" t="inlineStr">
        <is>
          <t>Y2</t>
        </is>
      </c>
      <c r="D44" s="14" t="inlineStr">
        <is>
          <t>Y3</t>
        </is>
      </c>
      <c r="E44" s="14" t="inlineStr">
        <is>
          <t>Y4</t>
        </is>
      </c>
    </row>
    <row r="45">
      <c r="A45" s="15" t="inlineStr">
        <is>
          <t xml:space="preserve">  Members (end of year)</t>
        </is>
      </c>
      <c r="B45" s="27" t="n"/>
      <c r="C45" s="27" t="n">
        <v>480</v>
      </c>
      <c r="D45" s="27" t="n">
        <v>1440</v>
      </c>
      <c r="E45" s="27" t="n">
        <v>1920</v>
      </c>
    </row>
    <row r="46">
      <c r="A46" s="15" t="inlineStr">
        <is>
          <t xml:space="preserve">  AUM end of year (€m)</t>
        </is>
      </c>
      <c r="B46" s="28" t="n"/>
      <c r="C46" s="28" t="n">
        <v>80.34400000000002</v>
      </c>
      <c r="D46" s="28" t="n">
        <v>276.7512</v>
      </c>
      <c r="E46" s="28" t="n">
        <v>438.8137600000001</v>
      </c>
    </row>
    <row r="47">
      <c r="A47" s="15" t="inlineStr">
        <is>
          <t xml:space="preserve">  SaaS revenue (€)</t>
        </is>
      </c>
      <c r="B47" s="17" t="n"/>
      <c r="C47" s="17" t="n"/>
      <c r="D47" s="17" t="n"/>
      <c r="E47" s="17" t="n"/>
    </row>
    <row r="48">
      <c r="A48" s="15" t="inlineStr">
        <is>
          <t xml:space="preserve">  AUM trail fee (€)</t>
        </is>
      </c>
      <c r="B48" s="17" t="n"/>
      <c r="C48" s="17" t="n">
        <v>200860.0000000001</v>
      </c>
      <c r="D48" s="17" t="n">
        <v>892738.0000000003</v>
      </c>
      <c r="E48" s="17" t="n">
        <v>1788912.4</v>
      </c>
    </row>
    <row r="49">
      <c r="A49" s="15" t="inlineStr">
        <is>
          <t xml:space="preserve">  Health commission (€)</t>
        </is>
      </c>
      <c r="B49" s="17" t="n"/>
      <c r="C49" s="17" t="n"/>
      <c r="D49" s="17" t="n"/>
      <c r="E49" s="17" t="n"/>
    </row>
    <row r="50">
      <c r="A50" s="15" t="inlineStr">
        <is>
          <t xml:space="preserve">  Life commission (€)</t>
        </is>
      </c>
      <c r="B50" s="17" t="n"/>
      <c r="C50" s="17" t="n"/>
      <c r="D50" s="17" t="n"/>
      <c r="E50" s="17" t="n"/>
    </row>
    <row r="51">
      <c r="A51" s="21" t="inlineStr">
        <is>
          <t xml:space="preserve">  Total segment revenue (€)</t>
        </is>
      </c>
      <c r="B51" s="29" t="n"/>
      <c r="C51" s="29" t="n">
        <v>200860.0000000001</v>
      </c>
      <c r="D51" s="29" t="n">
        <v>892738.0000000003</v>
      </c>
      <c r="E51" s="29" t="n">
        <v>1788912.4</v>
      </c>
    </row>
    <row r="53" ht="16" customHeight="1">
      <c r="A53" s="20" t="inlineStr">
        <is>
          <t>Revenue Totals by Stream</t>
        </is>
      </c>
    </row>
    <row r="54">
      <c r="A54" s="13" t="inlineStr">
        <is>
          <t>Stream</t>
        </is>
      </c>
      <c r="B54" s="14" t="inlineStr">
        <is>
          <t>Y1</t>
        </is>
      </c>
      <c r="C54" s="14" t="inlineStr">
        <is>
          <t>Y2</t>
        </is>
      </c>
      <c r="D54" s="14" t="inlineStr">
        <is>
          <t>Y3</t>
        </is>
      </c>
      <c r="E54" s="14" t="inlineStr">
        <is>
          <t>Y4</t>
        </is>
      </c>
    </row>
    <row r="55">
      <c r="A55" s="15" t="inlineStr">
        <is>
          <t>AUM trail fees</t>
        </is>
      </c>
      <c r="B55" s="17" t="n"/>
      <c r="C55" s="17" t="n">
        <v>555813.5000000002</v>
      </c>
      <c r="D55" s="17" t="n">
        <v>2807003.375000001</v>
      </c>
      <c r="E55" s="17" t="n">
        <v>6570820.300000002</v>
      </c>
    </row>
    <row r="56">
      <c r="A56" s="15" t="inlineStr">
        <is>
          <t>SaaS subscription</t>
        </is>
      </c>
      <c r="B56" s="17" t="n"/>
      <c r="C56" s="17" t="n">
        <v>170605.008</v>
      </c>
      <c r="D56" s="17" t="n">
        <v>803829.0329999999</v>
      </c>
      <c r="E56" s="17" t="n">
        <v>1727434.065</v>
      </c>
    </row>
    <row r="57">
      <c r="A57" s="15" t="inlineStr">
        <is>
          <t>Health insurance commission</t>
        </is>
      </c>
      <c r="B57" s="17" t="n"/>
      <c r="C57" s="17" t="n">
        <v>50901.02532</v>
      </c>
      <c r="D57" s="17" t="n">
        <v>274630.0479714</v>
      </c>
      <c r="E57" s="17" t="n">
        <v>648168.80605254</v>
      </c>
    </row>
    <row r="58">
      <c r="A58" s="15" t="inlineStr">
        <is>
          <t>Life insurance commission</t>
        </is>
      </c>
      <c r="B58" s="17" t="n"/>
      <c r="C58" s="17" t="n">
        <v>4636.381032</v>
      </c>
      <c r="D58" s="17" t="n">
        <v>24063.78390714</v>
      </c>
      <c r="E58" s="17" t="n">
        <v>55191.034260054</v>
      </c>
    </row>
    <row r="59">
      <c r="A59" s="21" t="inlineStr">
        <is>
          <t>Total revenue</t>
        </is>
      </c>
      <c r="B59" s="29" t="n"/>
      <c r="C59" s="29" t="n">
        <v>781955.9143520002</v>
      </c>
      <c r="D59" s="29" t="n">
        <v>3909526.239878541</v>
      </c>
      <c r="E59" s="29" t="n">
        <v>9001614.205312597</v>
      </c>
    </row>
  </sheetData>
  <mergeCells count="7">
    <mergeCell ref="A43:E43"/>
    <mergeCell ref="A33:E33"/>
    <mergeCell ref="A1:E1"/>
    <mergeCell ref="A23:E23"/>
    <mergeCell ref="A13:E13"/>
    <mergeCell ref="A53:F5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3A047"/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9" t="inlineStr">
        <is>
          <t>Profit &amp; Loss — Base Scenario</t>
        </is>
      </c>
    </row>
    <row r="3">
      <c r="A3" s="30" t="inlineStr"/>
      <c r="B3" s="30" t="inlineStr">
        <is>
          <t>Y1</t>
        </is>
      </c>
      <c r="C3" s="30" t="inlineStr">
        <is>
          <t>Y2</t>
        </is>
      </c>
      <c r="D3" s="30" t="inlineStr">
        <is>
          <t>Y3</t>
        </is>
      </c>
      <c r="E3" s="30" t="inlineStr">
        <is>
          <t>Y4</t>
        </is>
      </c>
    </row>
    <row r="4" ht="14" customHeight="1">
      <c r="A4" s="5" t="inlineStr">
        <is>
          <t>Revenue</t>
        </is>
      </c>
    </row>
    <row r="5">
      <c r="A5" s="15" t="inlineStr">
        <is>
          <t xml:space="preserve">  SaaS subscription</t>
        </is>
      </c>
      <c r="B5" s="17" t="n"/>
      <c r="C5" s="17" t="n">
        <v>170605.008</v>
      </c>
      <c r="D5" s="17" t="n">
        <v>803829.0329999999</v>
      </c>
      <c r="E5" s="17" t="n">
        <v>1727434.065</v>
      </c>
    </row>
    <row r="6">
      <c r="A6" s="15" t="inlineStr">
        <is>
          <t xml:space="preserve">  AUM trail fees</t>
        </is>
      </c>
      <c r="B6" s="17" t="n"/>
      <c r="C6" s="17" t="n">
        <v>555813.5000000002</v>
      </c>
      <c r="D6" s="17" t="n">
        <v>2807003.375000001</v>
      </c>
      <c r="E6" s="17" t="n">
        <v>6570820.300000002</v>
      </c>
    </row>
    <row r="7">
      <c r="A7" s="15" t="inlineStr">
        <is>
          <t xml:space="preserve">  Health insurance commission</t>
        </is>
      </c>
      <c r="B7" s="17" t="n"/>
      <c r="C7" s="17" t="n">
        <v>50901.02532</v>
      </c>
      <c r="D7" s="17" t="n">
        <v>274630.0479714</v>
      </c>
      <c r="E7" s="17" t="n">
        <v>648168.80605254</v>
      </c>
    </row>
    <row r="8">
      <c r="A8" s="15" t="inlineStr">
        <is>
          <t xml:space="preserve">  Life insurance commission</t>
        </is>
      </c>
      <c r="B8" s="17" t="n"/>
      <c r="C8" s="17" t="n">
        <v>4636.381032</v>
      </c>
      <c r="D8" s="17" t="n">
        <v>24063.78390714</v>
      </c>
      <c r="E8" s="17" t="n">
        <v>55191.034260054</v>
      </c>
    </row>
    <row r="9">
      <c r="A9" s="31" t="inlineStr">
        <is>
          <t xml:space="preserve">  Total revenue</t>
        </is>
      </c>
      <c r="B9" s="29" t="n"/>
      <c r="C9" s="29" t="n">
        <v>781955.9143520002</v>
      </c>
      <c r="D9" s="29" t="n">
        <v>3909526.239878541</v>
      </c>
      <c r="E9" s="29" t="n">
        <v>9001614.205312597</v>
      </c>
    </row>
    <row r="10" ht="14" customHeight="1">
      <c r="A10" s="5" t="inlineStr">
        <is>
          <t>COGS (variable, AUM-linked)</t>
        </is>
      </c>
    </row>
    <row r="11">
      <c r="A11" s="15" t="inlineStr">
        <is>
          <t xml:space="preserve">  Fund MER (12 bps on all AUM)</t>
        </is>
      </c>
      <c r="B11" s="17" t="n"/>
      <c r="C11" s="17" t="n">
        <v>-133395.24</v>
      </c>
      <c r="D11" s="17" t="n">
        <v>-673680.8100000002</v>
      </c>
      <c r="E11" s="17" t="n">
        <v>-1576996.872</v>
      </c>
    </row>
    <row r="12">
      <c r="A12" s="15" t="inlineStr">
        <is>
          <t xml:space="preserve">  PRSA levy (5 bps on PRSA AUM)</t>
        </is>
      </c>
      <c r="B12" s="17" t="n"/>
      <c r="C12" s="17" t="n">
        <v>-43753.60000000001</v>
      </c>
      <c r="D12" s="17" t="n">
        <v>-191343.35</v>
      </c>
      <c r="E12" s="17" t="n">
        <v>-387005.1900000001</v>
      </c>
    </row>
    <row r="13">
      <c r="A13" s="15" t="inlineStr">
        <is>
          <t xml:space="preserve">  Custody (max 10 bps or €80K floor)</t>
        </is>
      </c>
      <c r="B13" s="17" t="n">
        <v>-155000</v>
      </c>
      <c r="C13" s="17" t="n">
        <v>-111162.7</v>
      </c>
      <c r="D13" s="17" t="n">
        <v>-561400.6750000003</v>
      </c>
      <c r="E13" s="17" t="n">
        <v>-1314164.06</v>
      </c>
    </row>
    <row r="14">
      <c r="A14" s="31" t="inlineStr">
        <is>
          <t xml:space="preserve">  Total COGS</t>
        </is>
      </c>
      <c r="B14" s="29" t="n">
        <v>-155000</v>
      </c>
      <c r="C14" s="29" t="n">
        <v>-288311.54</v>
      </c>
      <c r="D14" s="29" t="n">
        <v>-1426424.835</v>
      </c>
      <c r="E14" s="29" t="n">
        <v>-3278166.122</v>
      </c>
    </row>
    <row r="15" ht="14" customHeight="1">
      <c r="A15" s="5" t="inlineStr">
        <is>
          <t>Profitability</t>
        </is>
      </c>
    </row>
    <row r="16">
      <c r="A16" s="31" t="inlineStr">
        <is>
          <t xml:space="preserve">  Gross Profit</t>
        </is>
      </c>
      <c r="B16" s="29" t="n">
        <v>-155000</v>
      </c>
      <c r="C16" s="29" t="n">
        <v>493644.3743520002</v>
      </c>
      <c r="D16" s="29" t="n">
        <v>2483101.40487854</v>
      </c>
      <c r="E16" s="29" t="n">
        <v>5723448.083312596</v>
      </c>
    </row>
    <row r="17">
      <c r="A17" s="15" t="inlineStr">
        <is>
          <t xml:space="preserve">  Gross margin %</t>
        </is>
      </c>
      <c r="B17" s="16" t="n"/>
      <c r="C17" s="16" t="n">
        <v>0.631294380273444</v>
      </c>
      <c r="D17" s="16" t="n">
        <v>0.6351412556207026</v>
      </c>
      <c r="E17" s="16" t="n">
        <v>0.6358246368673206</v>
      </c>
    </row>
    <row r="18">
      <c r="A18" s="15" t="inlineStr">
        <is>
          <t xml:space="preserve">  (−) Fixed opex</t>
        </is>
      </c>
      <c r="B18" s="17" t="n">
        <v>-629020</v>
      </c>
      <c r="C18" s="17" t="n">
        <v>-1663144</v>
      </c>
      <c r="D18" s="17" t="n">
        <v>-2191616</v>
      </c>
      <c r="E18" s="17" t="n">
        <v>-2370607.68</v>
      </c>
    </row>
    <row r="19">
      <c r="A19" s="31" t="inlineStr">
        <is>
          <t xml:space="preserve">  EBITDA</t>
        </is>
      </c>
      <c r="B19" s="29" t="n">
        <v>-784020</v>
      </c>
      <c r="C19" s="29" t="n">
        <v>-1169499.625648</v>
      </c>
      <c r="D19" s="29" t="n">
        <v>291485.4048785404</v>
      </c>
      <c r="E19" s="29" t="n">
        <v>3352840.403312596</v>
      </c>
    </row>
    <row r="20">
      <c r="A20" s="15" t="inlineStr">
        <is>
          <t xml:space="preserve">  EBITDA margin %</t>
        </is>
      </c>
      <c r="B20" s="16" t="n"/>
      <c r="C20" s="16" t="n">
        <v>-1.495608133633919</v>
      </c>
      <c r="D20" s="16" t="n">
        <v>0.07455773078213082</v>
      </c>
      <c r="E20" s="16" t="n">
        <v>0.3724710176241288</v>
      </c>
    </row>
    <row r="21" ht="14" customHeight="1">
      <c r="A21" s="5" t="inlineStr">
        <is>
          <t>Cash</t>
        </is>
      </c>
    </row>
    <row r="22">
      <c r="A22" s="15" t="inlineStr">
        <is>
          <t xml:space="preserve">  Regulatory capital (Y1, trapped)</t>
        </is>
      </c>
      <c r="B22" s="17" t="n">
        <v>125000</v>
      </c>
      <c r="C22" s="17" t="n">
        <v>0</v>
      </c>
      <c r="D22" s="17" t="n">
        <v>0</v>
      </c>
      <c r="E22" s="17" t="n">
        <v>0</v>
      </c>
    </row>
    <row r="23">
      <c r="A23" s="15" t="inlineStr">
        <is>
          <t xml:space="preserve">  Annual cash need</t>
        </is>
      </c>
      <c r="B23" s="17" t="n">
        <v>909020</v>
      </c>
      <c r="C23" s="17" t="n">
        <v>1169499.625648</v>
      </c>
      <c r="D23" s="17" t="n">
        <v>0</v>
      </c>
      <c r="E23" s="17" t="n">
        <v>0</v>
      </c>
    </row>
    <row r="24">
      <c r="A24" s="31" t="inlineStr">
        <is>
          <t xml:space="preserve">  Cumulative cash need</t>
        </is>
      </c>
      <c r="B24" s="29" t="n">
        <v>909020</v>
      </c>
      <c r="C24" s="29" t="n">
        <v>2078519.625648</v>
      </c>
      <c r="D24" s="29" t="n">
        <v>2078519.625648</v>
      </c>
      <c r="E24" s="29" t="n">
        <v>2078519.625648</v>
      </c>
    </row>
  </sheetData>
  <mergeCells count="5">
    <mergeCell ref="A21:E21"/>
    <mergeCell ref="A4:E4"/>
    <mergeCell ref="A15:E15"/>
    <mergeCell ref="A10:E10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9" t="inlineStr">
        <is>
          <t>Unit Economics (LTV / CAC) — Base Scenario Y4 Run-rate</t>
        </is>
      </c>
    </row>
    <row r="3">
      <c r="A3" s="32" t="inlineStr">
        <is>
          <t>Metric</t>
        </is>
      </c>
      <c r="B3" s="33" t="inlineStr">
        <is>
          <t>MFF Small (10 staff)</t>
        </is>
      </c>
      <c r="C3" s="33" t="inlineStr">
        <is>
          <t>Mid-Market (50 staff)</t>
        </is>
      </c>
      <c r="D3" s="33" t="inlineStr">
        <is>
          <t>Large Enterprise (1,000 staff)</t>
        </is>
      </c>
      <c r="E3" s="33" t="inlineStr">
        <is>
          <t>Individual PRSA</t>
        </is>
      </c>
    </row>
    <row r="4">
      <c r="A4" s="15" t="inlineStr">
        <is>
          <t>Representative customer</t>
        </is>
      </c>
      <c r="B4" s="24" t="inlineStr">
        <is>
          <t>10 staff</t>
        </is>
      </c>
      <c r="C4" s="24" t="inlineStr">
        <is>
          <t>50 staff</t>
        </is>
      </c>
      <c r="D4" s="24" t="inlineStr">
        <is>
          <t>1,000 staff</t>
        </is>
      </c>
      <c r="E4" s="24" t="inlineStr">
        <is>
          <t>1 saver</t>
        </is>
      </c>
    </row>
    <row r="5">
      <c r="A5" s="15" t="inlineStr">
        <is>
          <t>Employer churn / tenure</t>
        </is>
      </c>
      <c r="B5" s="24" t="inlineStr">
        <is>
          <t>~10% · 10 yrs</t>
        </is>
      </c>
      <c r="C5" s="24" t="inlineStr">
        <is>
          <t>~6% · 17 yrs</t>
        </is>
      </c>
      <c r="D5" s="24" t="inlineStr">
        <is>
          <t>~3% · 33 yrs</t>
        </is>
      </c>
      <c r="E5" s="24" t="inlineStr">
        <is>
          <t>—</t>
        </is>
      </c>
    </row>
    <row r="6">
      <c r="A6" s="15" t="inlineStr">
        <is>
          <t>Saver churn / tenure</t>
        </is>
      </c>
      <c r="B6" s="24" t="inlineStr">
        <is>
          <t>~5% · 20 yrs</t>
        </is>
      </c>
      <c r="C6" s="24" t="inlineStr">
        <is>
          <t>~4% · 25 yrs</t>
        </is>
      </c>
      <c r="D6" s="24" t="inlineStr">
        <is>
          <t>~3% · 30 yrs</t>
        </is>
      </c>
      <c r="E6" s="24" t="inlineStr">
        <is>
          <t>~3% · 30 yrs</t>
        </is>
      </c>
    </row>
    <row r="7">
      <c r="A7" s="15" t="inlineStr">
        <is>
          <t>Annual revenue per employer (Y4)</t>
        </is>
      </c>
      <c r="B7" s="17" t="n">
        <v>502.9956319429404</v>
      </c>
      <c r="C7" s="17" t="n">
        <v>15419.14355407588</v>
      </c>
      <c r="D7" s="17" t="n">
        <v>671535.5975000003</v>
      </c>
      <c r="E7" s="24" t="n"/>
    </row>
    <row r="8">
      <c r="A8" s="31" t="inlineStr">
        <is>
          <t>LTV per employer</t>
        </is>
      </c>
      <c r="B8" s="29" t="n">
        <v>10059.91263885881</v>
      </c>
      <c r="C8" s="29" t="n">
        <v>385478.5888518969</v>
      </c>
      <c r="D8" s="29" t="n">
        <v>20146067.92500001</v>
      </c>
      <c r="E8" s="34" t="n"/>
    </row>
    <row r="9">
      <c r="A9" s="31" t="inlineStr">
        <is>
          <t>LTV per saver</t>
        </is>
      </c>
      <c r="B9" s="29" t="n">
        <v>1005.991263885881</v>
      </c>
      <c r="C9" s="29" t="n">
        <v>7709.571777037938</v>
      </c>
      <c r="D9" s="29" t="n">
        <v>20146.06792500001</v>
      </c>
      <c r="E9" s="29" t="n">
        <v>11586.98173652695</v>
      </c>
    </row>
    <row r="10">
      <c r="A10" s="15" t="inlineStr">
        <is>
          <t>Indicative CAC</t>
        </is>
      </c>
      <c r="B10" s="17" t="n">
        <v>1450</v>
      </c>
      <c r="C10" s="17" t="n">
        <v>4900</v>
      </c>
      <c r="D10" s="24" t="inlineStr">
        <is>
          <t>€15,000–50,000</t>
        </is>
      </c>
      <c r="E10" s="24" t="inlineStr">
        <is>
          <t>€50–150</t>
        </is>
      </c>
    </row>
    <row r="12" ht="30" customHeight="1">
      <c r="A12" s="35" t="inlineStr">
        <is>
          <t>Sources: Employer churn — CSO Ireland business birth-death (~10%/yr SMEs). Saver churn — PensionBee IPO (97% retention); PRSA portability means employer churn ≠ saver churn. CAC — Data-Mania B2B fintech 2025 benchmarks; enterprise estimated.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6BB6A"/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AUM Trail</t>
        </is>
      </c>
      <c r="C1" t="inlineStr">
        <is>
          <t>SaaS</t>
        </is>
      </c>
      <c r="D1" t="inlineStr">
        <is>
          <t>Insurance</t>
        </is>
      </c>
      <c r="E1" t="inlineStr">
        <is>
          <t>Total Revenue</t>
        </is>
      </c>
      <c r="F1" t="inlineStr">
        <is>
          <t>EBITDA</t>
        </is>
      </c>
      <c r="G1" t="inlineStr">
        <is>
          <t>AUM (€m)</t>
        </is>
      </c>
      <c r="H1" t="inlineStr">
        <is>
          <t>Members</t>
        </is>
      </c>
    </row>
    <row r="2">
      <c r="A2" t="inlineStr">
        <is>
          <t>Y1</t>
        </is>
      </c>
      <c r="B2" t="n">
        <v>0</v>
      </c>
      <c r="C2" t="n">
        <v>0</v>
      </c>
      <c r="D2" t="n">
        <v>0</v>
      </c>
      <c r="E2" t="n">
        <v>0</v>
      </c>
      <c r="F2" t="n">
        <v>-784020</v>
      </c>
      <c r="G2" t="n">
        <v>0</v>
      </c>
      <c r="H2" t="n">
        <v>0</v>
      </c>
    </row>
    <row r="3">
      <c r="A3" t="inlineStr">
        <is>
          <t>Y2</t>
        </is>
      </c>
      <c r="B3" t="n">
        <v>555813.5000000002</v>
      </c>
      <c r="C3" t="n">
        <v>170605.008</v>
      </c>
      <c r="D3" t="n">
        <v>55537.40635199999</v>
      </c>
      <c r="E3" t="n">
        <v>781955.9143520002</v>
      </c>
      <c r="F3" t="n">
        <v>-1169499.625648</v>
      </c>
      <c r="G3" t="n">
        <v>222.3254000000001</v>
      </c>
      <c r="H3" t="n">
        <v>9560</v>
      </c>
    </row>
    <row r="4">
      <c r="A4" t="inlineStr">
        <is>
          <t>Y3</t>
        </is>
      </c>
      <c r="B4" t="n">
        <v>2807003.375000001</v>
      </c>
      <c r="C4" t="n">
        <v>803829.0329999999</v>
      </c>
      <c r="D4" t="n">
        <v>298693.83187854</v>
      </c>
      <c r="E4" t="n">
        <v>3909526.239878541</v>
      </c>
      <c r="F4" t="n">
        <v>291485.4048785404</v>
      </c>
      <c r="G4" t="n">
        <v>900.4759500000002</v>
      </c>
      <c r="H4" t="n">
        <v>31792</v>
      </c>
    </row>
    <row r="5">
      <c r="A5" t="inlineStr">
        <is>
          <t>Y4</t>
        </is>
      </c>
      <c r="B5" t="n">
        <v>6570820.300000002</v>
      </c>
      <c r="C5" t="n">
        <v>1727434.065</v>
      </c>
      <c r="D5" t="n">
        <v>703359.840312594</v>
      </c>
      <c r="E5" t="n">
        <v>9001614.205312597</v>
      </c>
      <c r="F5" t="n">
        <v>3352840.403312596</v>
      </c>
      <c r="G5" t="n">
        <v>1727.852170000001</v>
      </c>
      <c r="H5" t="n">
        <v>51440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2026-04-26T20:53:10Z</dcterms:created>
  <dcterms:modified xsi:type="dcterms:W3CDTF">2026-04-26T20:53:10Z</dcterms:modified>
</cp:coreProperties>
</file>